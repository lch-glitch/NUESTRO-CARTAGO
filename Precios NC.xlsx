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Chaquea\Desktop\"/>
    </mc:Choice>
  </mc:AlternateContent>
  <xr:revisionPtr revIDLastSave="0" documentId="8_{C4C62CB5-5947-4824-A891-7CAF9DB5ABE9}" xr6:coauthVersionLast="47" xr6:coauthVersionMax="47" xr10:uidLastSave="{00000000-0000-0000-0000-000000000000}"/>
  <bookViews>
    <workbookView xWindow="-110" yWindow="-110" windowWidth="19420" windowHeight="10300" xr2:uid="{27A0DC95-8E07-4C1F-897D-189469F99E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2" i="1" l="1"/>
  <c r="B132" i="1"/>
  <c r="H131" i="1"/>
  <c r="F131" i="1"/>
  <c r="D131" i="1"/>
  <c r="H130" i="1"/>
  <c r="F130" i="1"/>
  <c r="D130" i="1"/>
  <c r="H129" i="1"/>
  <c r="F129" i="1"/>
  <c r="D129" i="1"/>
  <c r="H128" i="1"/>
  <c r="F128" i="1"/>
  <c r="D128" i="1"/>
  <c r="H127" i="1"/>
  <c r="F127" i="1"/>
  <c r="D127" i="1"/>
  <c r="H126" i="1"/>
  <c r="F126" i="1"/>
  <c r="D126" i="1"/>
  <c r="H125" i="1"/>
  <c r="F125" i="1"/>
  <c r="D125" i="1"/>
  <c r="H124" i="1"/>
  <c r="F124" i="1"/>
  <c r="D124" i="1"/>
  <c r="H123" i="1"/>
  <c r="F123" i="1"/>
  <c r="D123" i="1"/>
  <c r="H122" i="1"/>
  <c r="F122" i="1"/>
  <c r="D122" i="1"/>
  <c r="H121" i="1"/>
  <c r="F121" i="1"/>
  <c r="D121" i="1"/>
  <c r="H120" i="1"/>
  <c r="F120" i="1"/>
  <c r="D120" i="1"/>
  <c r="H119" i="1"/>
  <c r="F119" i="1"/>
  <c r="D119" i="1"/>
  <c r="H118" i="1"/>
  <c r="F118" i="1"/>
  <c r="D118" i="1"/>
  <c r="H117" i="1"/>
  <c r="F117" i="1"/>
  <c r="D117" i="1"/>
  <c r="H116" i="1"/>
  <c r="F116" i="1"/>
  <c r="D116" i="1"/>
  <c r="H115" i="1"/>
  <c r="F115" i="1"/>
  <c r="D115" i="1"/>
  <c r="H114" i="1"/>
  <c r="F114" i="1"/>
  <c r="D114" i="1"/>
  <c r="H113" i="1"/>
  <c r="F113" i="1"/>
  <c r="D113" i="1"/>
  <c r="H112" i="1"/>
  <c r="F112" i="1"/>
  <c r="D112" i="1"/>
  <c r="H111" i="1"/>
  <c r="F111" i="1"/>
  <c r="D111" i="1"/>
  <c r="H110" i="1"/>
  <c r="F110" i="1"/>
  <c r="D110" i="1"/>
  <c r="H109" i="1"/>
  <c r="F109" i="1"/>
  <c r="D109" i="1"/>
  <c r="H108" i="1"/>
  <c r="F108" i="1"/>
  <c r="D108" i="1"/>
  <c r="H107" i="1"/>
  <c r="F107" i="1"/>
  <c r="D107" i="1"/>
  <c r="H106" i="1"/>
  <c r="F106" i="1"/>
  <c r="D106" i="1"/>
  <c r="H105" i="1"/>
  <c r="F105" i="1"/>
  <c r="D105" i="1"/>
  <c r="H104" i="1"/>
  <c r="F104" i="1"/>
  <c r="D104" i="1"/>
  <c r="H103" i="1"/>
  <c r="F103" i="1"/>
  <c r="D103" i="1"/>
  <c r="H102" i="1"/>
  <c r="F102" i="1"/>
  <c r="D102" i="1"/>
  <c r="H101" i="1"/>
  <c r="F101" i="1"/>
  <c r="D101" i="1"/>
  <c r="H100" i="1"/>
  <c r="F100" i="1"/>
  <c r="D100" i="1"/>
  <c r="H99" i="1"/>
  <c r="F99" i="1"/>
  <c r="D99" i="1"/>
  <c r="H98" i="1"/>
  <c r="F98" i="1"/>
  <c r="D98" i="1"/>
  <c r="H97" i="1"/>
  <c r="F97" i="1"/>
  <c r="D97" i="1"/>
  <c r="H96" i="1"/>
  <c r="F96" i="1"/>
  <c r="D96" i="1"/>
  <c r="H95" i="1"/>
  <c r="F95" i="1"/>
  <c r="D95" i="1"/>
  <c r="H94" i="1"/>
  <c r="F94" i="1"/>
  <c r="D94" i="1"/>
  <c r="H93" i="1"/>
  <c r="F93" i="1"/>
  <c r="D93" i="1"/>
  <c r="H92" i="1"/>
  <c r="F92" i="1"/>
  <c r="D92" i="1"/>
  <c r="H91" i="1"/>
  <c r="F91" i="1"/>
  <c r="D91" i="1"/>
  <c r="H90" i="1"/>
  <c r="F90" i="1"/>
  <c r="D90" i="1"/>
  <c r="H89" i="1"/>
  <c r="F89" i="1"/>
  <c r="D89" i="1"/>
  <c r="H88" i="1"/>
  <c r="F88" i="1"/>
  <c r="D88" i="1"/>
  <c r="H87" i="1"/>
  <c r="F87" i="1"/>
  <c r="D87" i="1"/>
  <c r="H86" i="1"/>
  <c r="F86" i="1"/>
  <c r="D86" i="1"/>
  <c r="H85" i="1"/>
  <c r="F85" i="1"/>
  <c r="D85" i="1"/>
  <c r="H84" i="1"/>
  <c r="F84" i="1"/>
  <c r="D84" i="1"/>
  <c r="H83" i="1"/>
  <c r="F83" i="1"/>
  <c r="D83" i="1"/>
  <c r="H82" i="1"/>
  <c r="F82" i="1"/>
  <c r="D82" i="1"/>
  <c r="H81" i="1"/>
  <c r="F81" i="1"/>
  <c r="D81" i="1"/>
  <c r="H80" i="1"/>
  <c r="F80" i="1"/>
  <c r="D80" i="1"/>
  <c r="H79" i="1"/>
  <c r="F79" i="1"/>
  <c r="D79" i="1"/>
  <c r="H78" i="1"/>
  <c r="F78" i="1"/>
  <c r="D78" i="1"/>
  <c r="H77" i="1"/>
  <c r="F77" i="1"/>
  <c r="D77" i="1"/>
  <c r="H76" i="1"/>
  <c r="F76" i="1"/>
  <c r="D76" i="1"/>
  <c r="H75" i="1"/>
  <c r="F75" i="1"/>
  <c r="D75" i="1"/>
  <c r="H74" i="1"/>
  <c r="F74" i="1"/>
  <c r="D74" i="1"/>
  <c r="H73" i="1"/>
  <c r="F73" i="1"/>
  <c r="D73" i="1"/>
  <c r="H72" i="1"/>
  <c r="F72" i="1"/>
  <c r="D72" i="1"/>
  <c r="H71" i="1"/>
  <c r="F71" i="1"/>
  <c r="D71" i="1"/>
  <c r="H70" i="1"/>
  <c r="F70" i="1"/>
  <c r="D70" i="1"/>
  <c r="H69" i="1"/>
  <c r="F69" i="1"/>
  <c r="D69" i="1"/>
  <c r="H68" i="1"/>
  <c r="F68" i="1"/>
  <c r="D68" i="1"/>
  <c r="H67" i="1"/>
  <c r="F67" i="1"/>
  <c r="D67" i="1"/>
  <c r="H66" i="1"/>
  <c r="F66" i="1"/>
  <c r="D66" i="1"/>
  <c r="H65" i="1"/>
  <c r="F65" i="1"/>
  <c r="D65" i="1"/>
  <c r="H64" i="1"/>
  <c r="F64" i="1"/>
  <c r="D64" i="1"/>
  <c r="H63" i="1"/>
  <c r="F63" i="1"/>
  <c r="D63" i="1"/>
  <c r="H62" i="1"/>
  <c r="F62" i="1"/>
  <c r="D62" i="1"/>
  <c r="H61" i="1"/>
  <c r="F61" i="1"/>
  <c r="D61" i="1"/>
  <c r="H60" i="1"/>
  <c r="F60" i="1"/>
  <c r="D60" i="1"/>
  <c r="H59" i="1"/>
  <c r="F59" i="1"/>
  <c r="D59" i="1"/>
  <c r="H58" i="1"/>
  <c r="F58" i="1"/>
  <c r="D58" i="1"/>
  <c r="H57" i="1"/>
  <c r="F57" i="1"/>
  <c r="D57" i="1"/>
  <c r="H56" i="1"/>
  <c r="F56" i="1"/>
  <c r="D56" i="1"/>
  <c r="H55" i="1"/>
  <c r="F55" i="1"/>
  <c r="D55" i="1"/>
  <c r="H54" i="1"/>
  <c r="F54" i="1"/>
  <c r="D54" i="1"/>
  <c r="H53" i="1"/>
  <c r="F53" i="1"/>
  <c r="D53" i="1"/>
  <c r="H52" i="1"/>
  <c r="F52" i="1"/>
  <c r="D52" i="1"/>
  <c r="H51" i="1"/>
  <c r="F51" i="1"/>
  <c r="D51" i="1"/>
  <c r="H50" i="1"/>
  <c r="F50" i="1"/>
  <c r="D50" i="1"/>
  <c r="H49" i="1"/>
  <c r="F49" i="1"/>
  <c r="D49" i="1"/>
  <c r="H48" i="1"/>
  <c r="F48" i="1"/>
  <c r="D48" i="1"/>
  <c r="H47" i="1"/>
  <c r="F47" i="1"/>
  <c r="D47" i="1"/>
  <c r="H46" i="1"/>
  <c r="F46" i="1"/>
  <c r="D46" i="1"/>
  <c r="H45" i="1"/>
  <c r="F45" i="1"/>
  <c r="D45" i="1"/>
  <c r="H44" i="1"/>
  <c r="F44" i="1"/>
  <c r="D44" i="1"/>
  <c r="H43" i="1"/>
  <c r="F43" i="1"/>
  <c r="D43" i="1"/>
  <c r="H42" i="1"/>
  <c r="F42" i="1"/>
  <c r="D42" i="1"/>
  <c r="H41" i="1"/>
  <c r="F41" i="1"/>
  <c r="D41" i="1"/>
  <c r="H40" i="1"/>
  <c r="F40" i="1"/>
  <c r="D40" i="1"/>
  <c r="H39" i="1"/>
  <c r="F39" i="1"/>
  <c r="D39" i="1"/>
  <c r="H38" i="1"/>
  <c r="F38" i="1"/>
  <c r="D38" i="1"/>
  <c r="H37" i="1"/>
  <c r="F37" i="1"/>
  <c r="D37" i="1"/>
  <c r="H36" i="1"/>
  <c r="F36" i="1"/>
  <c r="D36" i="1"/>
  <c r="H35" i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  <c r="H4" i="1"/>
  <c r="F4" i="1"/>
  <c r="D4" i="1"/>
  <c r="H3" i="1"/>
  <c r="F3" i="1"/>
  <c r="D3" i="1"/>
  <c r="H2" i="1"/>
  <c r="F2" i="1"/>
  <c r="D2" i="1"/>
  <c r="H132" i="1" l="1"/>
  <c r="H133" i="1" s="1"/>
</calcChain>
</file>

<file path=xl/sharedStrings.xml><?xml version="1.0" encoding="utf-8"?>
<sst xmlns="http://schemas.openxmlformats.org/spreadsheetml/2006/main" count="138" uniqueCount="138">
  <si>
    <t>Local</t>
  </si>
  <si>
    <t>Area</t>
  </si>
  <si>
    <t>FGC</t>
  </si>
  <si>
    <t>FCG m2</t>
  </si>
  <si>
    <t xml:space="preserve">VMC </t>
  </si>
  <si>
    <t>VMC m2 minimo</t>
  </si>
  <si>
    <t>Precio lista</t>
  </si>
  <si>
    <t>Precio lista M2</t>
  </si>
  <si>
    <t xml:space="preserve">L-0101 </t>
  </si>
  <si>
    <t>L-0101A</t>
  </si>
  <si>
    <t>L-0101B</t>
  </si>
  <si>
    <t>L-0101C</t>
  </si>
  <si>
    <t>L-0103</t>
  </si>
  <si>
    <t>L-0109</t>
  </si>
  <si>
    <t>L-0115</t>
  </si>
  <si>
    <t>L-0117</t>
  </si>
  <si>
    <t>L-0119A</t>
  </si>
  <si>
    <t>L-0119B</t>
  </si>
  <si>
    <t>L-0121</t>
  </si>
  <si>
    <t>L-0123</t>
  </si>
  <si>
    <t>L-0126</t>
  </si>
  <si>
    <t>L-0128</t>
  </si>
  <si>
    <t>L-0130</t>
  </si>
  <si>
    <t>L-0132</t>
  </si>
  <si>
    <t>L-0136</t>
  </si>
  <si>
    <t>L-0138</t>
  </si>
  <si>
    <t>L-0146</t>
  </si>
  <si>
    <t>L-0148</t>
  </si>
  <si>
    <t>L-0150</t>
  </si>
  <si>
    <t>L-0157</t>
  </si>
  <si>
    <t>L-0159</t>
  </si>
  <si>
    <t>L-0163</t>
  </si>
  <si>
    <t>L-0165</t>
  </si>
  <si>
    <t>L-0181</t>
  </si>
  <si>
    <t>L-0183</t>
  </si>
  <si>
    <t>L-0198 A</t>
  </si>
  <si>
    <t>L-0198 B</t>
  </si>
  <si>
    <t>L-0194</t>
  </si>
  <si>
    <t>L-0196</t>
  </si>
  <si>
    <t>L-0201</t>
  </si>
  <si>
    <t>L-0203</t>
  </si>
  <si>
    <t>L-0205</t>
  </si>
  <si>
    <t>L-0209</t>
  </si>
  <si>
    <t>L-0213</t>
  </si>
  <si>
    <t>L-0215</t>
  </si>
  <si>
    <t>L-0217</t>
  </si>
  <si>
    <t>L-0221</t>
  </si>
  <si>
    <t>L-0223</t>
  </si>
  <si>
    <t>L-0227</t>
  </si>
  <si>
    <t>L-0229</t>
  </si>
  <si>
    <t>L-0231</t>
  </si>
  <si>
    <t>L-0233</t>
  </si>
  <si>
    <t>L-0235</t>
  </si>
  <si>
    <t>L-0239</t>
  </si>
  <si>
    <t>L-0241</t>
  </si>
  <si>
    <t>L-0243</t>
  </si>
  <si>
    <t>L-0245</t>
  </si>
  <si>
    <t>L-0247</t>
  </si>
  <si>
    <t>L-0249</t>
  </si>
  <si>
    <t>L-0263</t>
  </si>
  <si>
    <t>L-0269</t>
  </si>
  <si>
    <t>L-0271</t>
  </si>
  <si>
    <t>L-0278</t>
  </si>
  <si>
    <t>L-0280</t>
  </si>
  <si>
    <t>L-0282</t>
  </si>
  <si>
    <t>L-0284</t>
  </si>
  <si>
    <t>L-0286A</t>
  </si>
  <si>
    <t>L-0286B</t>
  </si>
  <si>
    <t>L-0288</t>
  </si>
  <si>
    <t>L-0290</t>
  </si>
  <si>
    <t>L-0292</t>
  </si>
  <si>
    <t>L-0294</t>
  </si>
  <si>
    <t>L-0296</t>
  </si>
  <si>
    <t>L-0300</t>
  </si>
  <si>
    <t>L-0302</t>
  </si>
  <si>
    <t>L-0304</t>
  </si>
  <si>
    <t>L-0308</t>
  </si>
  <si>
    <t>L-0310</t>
  </si>
  <si>
    <t>L-0318</t>
  </si>
  <si>
    <t>L-0322</t>
  </si>
  <si>
    <t>L-0326</t>
  </si>
  <si>
    <t>L-0328</t>
  </si>
  <si>
    <t>L-0330</t>
  </si>
  <si>
    <t>L-0332</t>
  </si>
  <si>
    <t>L-0334</t>
  </si>
  <si>
    <t>L-0336</t>
  </si>
  <si>
    <t>L-0342A</t>
  </si>
  <si>
    <t>L-0342B</t>
  </si>
  <si>
    <t>L-0344</t>
  </si>
  <si>
    <t>L-0346</t>
  </si>
  <si>
    <t>L-0348</t>
  </si>
  <si>
    <t>L-0350</t>
  </si>
  <si>
    <t>LE-0105</t>
  </si>
  <si>
    <t>LE-0107</t>
  </si>
  <si>
    <t>LE-0109</t>
  </si>
  <si>
    <t>LE-0111</t>
  </si>
  <si>
    <t>LE-0113</t>
  </si>
  <si>
    <t>LE-0115</t>
  </si>
  <si>
    <t>LE-0117</t>
  </si>
  <si>
    <t>LE-0123</t>
  </si>
  <si>
    <t>LE-0125</t>
  </si>
  <si>
    <t>LE-0127</t>
  </si>
  <si>
    <t>LE-0129</t>
  </si>
  <si>
    <t>LE-0131</t>
  </si>
  <si>
    <t>LE-0133A</t>
  </si>
  <si>
    <t>LE-0133B</t>
  </si>
  <si>
    <t>LE-0135</t>
  </si>
  <si>
    <t>L-0125</t>
  </si>
  <si>
    <t>L-0135</t>
  </si>
  <si>
    <t>L-0144</t>
  </si>
  <si>
    <t>L-0145</t>
  </si>
  <si>
    <t>L-0162</t>
  </si>
  <si>
    <t>L-0171</t>
  </si>
  <si>
    <t>L-0172</t>
  </si>
  <si>
    <t>L-0186</t>
  </si>
  <si>
    <t>L-0211</t>
  </si>
  <si>
    <t>L-0212</t>
  </si>
  <si>
    <t>L-0219</t>
  </si>
  <si>
    <t>L-0253</t>
  </si>
  <si>
    <t>L-0254</t>
  </si>
  <si>
    <t>L-0261</t>
  </si>
  <si>
    <t>L-0262</t>
  </si>
  <si>
    <t>LB-0101</t>
  </si>
  <si>
    <t>LB-0102</t>
  </si>
  <si>
    <t>LB-0103</t>
  </si>
  <si>
    <t>LB-0104</t>
  </si>
  <si>
    <t>LB-0105</t>
  </si>
  <si>
    <t>LB-0106</t>
  </si>
  <si>
    <t>LB-0107</t>
  </si>
  <si>
    <t>LB-0108</t>
  </si>
  <si>
    <t>LB-0109</t>
  </si>
  <si>
    <t>L-0362 (2 piso)</t>
  </si>
  <si>
    <t>L-0363 (2 piso)</t>
  </si>
  <si>
    <t>L-0366</t>
  </si>
  <si>
    <t>L-0370 (Cines)</t>
  </si>
  <si>
    <t xml:space="preserve">L-0368 ENTRETENIMIENTO </t>
  </si>
  <si>
    <t>L-0360</t>
  </si>
  <si>
    <t>L-0368A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</si>
</sst>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\$* #,##0_-;&quot;-$&quot;* #,##0_-;_-\$* \-??_-;_-@_-"/>
    <numFmt numFmtId="165" formatCode="_-\$* #,##0.00_-;&quot;-$&quot;* #,##0.00_-;_-\$* \-??_-;_-@_-"/>
    <numFmt numFmtId="166" formatCode="_-* #,##0_-;\-* #,##0_-;_-* \-_-;_-@"/>
    <numFmt numFmtId="167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Book Antiqua"/>
      <family val="1"/>
    </font>
    <font>
      <b/>
      <sz val="11"/>
      <color theme="1"/>
      <name val="Aptos Narrow"/>
      <family val="2"/>
      <charset val="1"/>
    </font>
    <font>
      <sz val="9"/>
      <color theme="1"/>
      <name val="Book Antiqua"/>
      <family val="1"/>
    </font>
    <font>
      <sz val="9"/>
      <name val="Book Antiqua"/>
      <family val="1"/>
    </font>
    <font>
      <sz val="9"/>
      <color theme="1"/>
      <name val="Book Antiqua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6" fillId="0" borderId="0" xfId="0" applyFont="1"/>
    <xf numFmtId="44" fontId="0" fillId="0" borderId="0" xfId="1" applyFont="1"/>
    <xf numFmtId="166" fontId="6" fillId="0" borderId="0" xfId="0" applyNumberFormat="1" applyFont="1"/>
    <xf numFmtId="0" fontId="0" fillId="0" borderId="1" xfId="0" applyBorder="1"/>
    <xf numFmtId="167" fontId="0" fillId="0" borderId="1" xfId="1" applyNumberFormat="1" applyFont="1" applyBorder="1"/>
    <xf numFmtId="44" fontId="0" fillId="0" borderId="1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48D8-4071-4E01-8935-0C12C6D9D8CF}">
  <dimension ref="A1:H998"/>
  <sheetViews>
    <sheetView tabSelected="1" workbookViewId="0">
      <selection activeCell="C1" sqref="C1:C1048576"/>
    </sheetView>
  </sheetViews>
  <sheetFormatPr baseColWidth="10" defaultColWidth="10.54296875" defaultRowHeight="14.5" x14ac:dyDescent="0.35"/>
  <cols>
    <col min="1" max="1" width="13.26953125" customWidth="1"/>
    <col min="3" max="3" width="16.26953125" customWidth="1"/>
    <col min="4" max="4" width="14.1796875" hidden="1" customWidth="1"/>
    <col min="5" max="5" width="16" hidden="1" customWidth="1"/>
    <col min="6" max="6" width="14.81640625" hidden="1" customWidth="1"/>
    <col min="7" max="7" width="12.7265625" customWidth="1"/>
    <col min="8" max="8" width="13.36328125" customWidth="1"/>
  </cols>
  <sheetData>
    <row r="1" spans="1:8" s="2" customFormat="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hidden="1" customHeight="1" x14ac:dyDescent="0.35">
      <c r="A2" s="3" t="s">
        <v>8</v>
      </c>
      <c r="B2" s="3">
        <v>2917.6</v>
      </c>
      <c r="C2" s="4">
        <v>22069349.159595001</v>
      </c>
      <c r="D2" s="5">
        <f>C2/B2</f>
        <v>7564.2134492716623</v>
      </c>
      <c r="E2" s="4">
        <v>21238495.437823199</v>
      </c>
      <c r="F2" s="6">
        <f>E2/B2</f>
        <v>7279.4404434546204</v>
      </c>
      <c r="G2" s="7">
        <v>102279000</v>
      </c>
      <c r="H2" s="7">
        <f>IF(B2&gt;0,G2/B2,0)</f>
        <v>35055.867836578007</v>
      </c>
    </row>
    <row r="3" spans="1:8" ht="15" customHeight="1" x14ac:dyDescent="0.35">
      <c r="A3" s="3" t="s">
        <v>9</v>
      </c>
      <c r="B3" s="3">
        <v>39.46</v>
      </c>
      <c r="C3" s="4">
        <v>1568533.2572569</v>
      </c>
      <c r="D3" s="5">
        <f>C3/B3</f>
        <v>39749.955835197667</v>
      </c>
      <c r="E3" s="4">
        <v>3586834.8035452799</v>
      </c>
      <c r="F3" s="6">
        <f>E3/B3</f>
        <v>90897.992994051689</v>
      </c>
      <c r="G3" s="7">
        <v>4125000</v>
      </c>
      <c r="H3" s="7">
        <f>IF(B3&gt;0,G3/B3,0)</f>
        <v>104536.2392295996</v>
      </c>
    </row>
    <row r="4" spans="1:8" ht="15" customHeight="1" x14ac:dyDescent="0.35">
      <c r="A4" s="3" t="s">
        <v>10</v>
      </c>
      <c r="B4" s="3">
        <v>39.46</v>
      </c>
      <c r="C4" s="4">
        <v>1642855.7128455399</v>
      </c>
      <c r="D4" s="5">
        <f>C4/B4</f>
        <v>41633.44431945109</v>
      </c>
      <c r="E4" s="4">
        <v>3586834.8035452799</v>
      </c>
      <c r="F4" s="6">
        <f>E4/B4</f>
        <v>90897.992994051689</v>
      </c>
      <c r="G4" s="7">
        <v>4125000</v>
      </c>
      <c r="H4" s="7">
        <f>IF(B4&gt;0,G4/B4,0)</f>
        <v>104536.2392295996</v>
      </c>
    </row>
    <row r="5" spans="1:8" ht="15" customHeight="1" x14ac:dyDescent="0.35">
      <c r="A5" s="3" t="s">
        <v>11</v>
      </c>
      <c r="B5" s="3">
        <v>39.700000000000003</v>
      </c>
      <c r="C5" s="4">
        <v>1603362.5109614099</v>
      </c>
      <c r="D5" s="5">
        <f>C5/B5</f>
        <v>40386.965011622415</v>
      </c>
      <c r="E5" s="4">
        <v>3586834.8035452799</v>
      </c>
      <c r="F5" s="6">
        <f>E5/B5</f>
        <v>90348.483716505783</v>
      </c>
      <c r="G5" s="7">
        <v>4125000</v>
      </c>
      <c r="H5" s="7">
        <f>IF(B5&gt;0,G5/B5,0)</f>
        <v>103904.28211586901</v>
      </c>
    </row>
    <row r="6" spans="1:8" ht="15" customHeight="1" x14ac:dyDescent="0.35">
      <c r="A6" s="3" t="s">
        <v>12</v>
      </c>
      <c r="B6" s="3">
        <v>1312.52</v>
      </c>
      <c r="C6" s="4">
        <v>10800374.6667084</v>
      </c>
      <c r="D6" s="5">
        <f>C6/B6</f>
        <v>8228.7314987264199</v>
      </c>
      <c r="E6" s="4">
        <v>42010518.701447301</v>
      </c>
      <c r="F6" s="6">
        <f>E6/B6</f>
        <v>32007.526514984384</v>
      </c>
      <c r="G6" s="7">
        <v>48313000</v>
      </c>
      <c r="H6" s="7">
        <f>IF(B6&gt;0,G6/B6,0)</f>
        <v>36809.343857617409</v>
      </c>
    </row>
    <row r="7" spans="1:8" ht="15" customHeight="1" x14ac:dyDescent="0.35">
      <c r="A7" s="3" t="s">
        <v>13</v>
      </c>
      <c r="B7" s="3">
        <v>67.599999999999994</v>
      </c>
      <c r="C7" s="4">
        <v>2809108.0455877599</v>
      </c>
      <c r="D7" s="5">
        <f>C7/B7</f>
        <v>41554.852745381068</v>
      </c>
      <c r="E7" s="4">
        <v>5694085.30636827</v>
      </c>
      <c r="F7" s="6">
        <f>E7/B7</f>
        <v>84232.03115929394</v>
      </c>
      <c r="G7" s="7">
        <v>6549000</v>
      </c>
      <c r="H7" s="7">
        <f>IF(B7&gt;0,G7/B7,0)</f>
        <v>96878.69822485208</v>
      </c>
    </row>
    <row r="8" spans="1:8" ht="15" customHeight="1" x14ac:dyDescent="0.35">
      <c r="A8" s="3" t="s">
        <v>14</v>
      </c>
      <c r="B8" s="3">
        <v>65.91</v>
      </c>
      <c r="C8" s="4">
        <v>499321.61573013599</v>
      </c>
      <c r="D8" s="5">
        <f>C8/B8</f>
        <v>7575.8096757720532</v>
      </c>
      <c r="E8" s="4">
        <v>21238495.437823199</v>
      </c>
      <c r="F8" s="6">
        <f>E8/B8</f>
        <v>322234.79650771053</v>
      </c>
      <c r="G8" s="7">
        <v>5858000</v>
      </c>
      <c r="H8" s="7">
        <f>IF(B8&gt;0,G8/B8,0)</f>
        <v>88878.774085874684</v>
      </c>
    </row>
    <row r="9" spans="1:8" ht="15" customHeight="1" x14ac:dyDescent="0.35">
      <c r="A9" s="3" t="s">
        <v>15</v>
      </c>
      <c r="B9" s="3">
        <v>68.87</v>
      </c>
      <c r="C9" s="4">
        <v>519309.28604105301</v>
      </c>
      <c r="D9" s="5">
        <f>C9/B9</f>
        <v>7540.4281405699576</v>
      </c>
      <c r="E9" s="4">
        <v>21238495.437823199</v>
      </c>
      <c r="F9" s="6">
        <f>E9/B9</f>
        <v>308385.29748545372</v>
      </c>
      <c r="G9" s="7">
        <v>5821000</v>
      </c>
      <c r="H9" s="7">
        <f>IF(B9&gt;0,G9/B9,0)</f>
        <v>84521.562363873963</v>
      </c>
    </row>
    <row r="10" spans="1:8" ht="15" customHeight="1" x14ac:dyDescent="0.35">
      <c r="A10" s="3" t="s">
        <v>16</v>
      </c>
      <c r="B10" s="3">
        <v>50.86</v>
      </c>
      <c r="C10" s="4">
        <v>2147335.9996113102</v>
      </c>
      <c r="D10" s="5">
        <f>C10/B10</f>
        <v>42220.526929046602</v>
      </c>
      <c r="E10" s="4">
        <v>3999986.42</v>
      </c>
      <c r="F10" s="6">
        <f>E10/B10</f>
        <v>78647</v>
      </c>
      <c r="G10" s="7">
        <v>4600000</v>
      </c>
      <c r="H10" s="7">
        <f>IF(B10&gt;0,G10/B10,0)</f>
        <v>90444.357058592213</v>
      </c>
    </row>
    <row r="11" spans="1:8" ht="15" customHeight="1" x14ac:dyDescent="0.35">
      <c r="A11" s="3" t="s">
        <v>17</v>
      </c>
      <c r="B11" s="3">
        <v>50.86</v>
      </c>
      <c r="C11" s="4">
        <v>2147335.9996113102</v>
      </c>
      <c r="D11" s="5">
        <f>C11/B11</f>
        <v>42220.526929046602</v>
      </c>
      <c r="E11" s="4">
        <v>4068800</v>
      </c>
      <c r="F11" s="6">
        <f>E11/B11</f>
        <v>80000</v>
      </c>
      <c r="G11" s="7">
        <v>4680000</v>
      </c>
      <c r="H11" s="7">
        <f>IF(B11&gt;0,G11/B11,0)</f>
        <v>92017.302398741638</v>
      </c>
    </row>
    <row r="12" spans="1:8" ht="15" customHeight="1" x14ac:dyDescent="0.35">
      <c r="A12" s="3" t="s">
        <v>18</v>
      </c>
      <c r="B12" s="3">
        <v>37.909999999999997</v>
      </c>
      <c r="C12" s="4">
        <v>1585927.31910059</v>
      </c>
      <c r="D12" s="5">
        <f>C12/B12</f>
        <v>41834.010000015565</v>
      </c>
      <c r="E12" s="4">
        <v>7462407.38153861</v>
      </c>
      <c r="F12" s="6">
        <f>E12/B12</f>
        <v>196845.35430067556</v>
      </c>
      <c r="G12" s="7">
        <v>8582000</v>
      </c>
      <c r="H12" s="7">
        <f>IF(B12&gt;0,G12/B12,0)</f>
        <v>226378.26431020841</v>
      </c>
    </row>
    <row r="13" spans="1:8" ht="15" customHeight="1" x14ac:dyDescent="0.35">
      <c r="A13" s="3" t="s">
        <v>19</v>
      </c>
      <c r="B13" s="3">
        <v>48.34</v>
      </c>
      <c r="C13" s="4">
        <v>2031743.5811129201</v>
      </c>
      <c r="D13" s="5">
        <f>C13/B13</f>
        <v>42030.276812431111</v>
      </c>
      <c r="E13" s="4">
        <v>8156285.2615120504</v>
      </c>
      <c r="F13" s="6">
        <f>E13/B13</f>
        <v>168727.45679586366</v>
      </c>
      <c r="G13" s="7">
        <v>4878000</v>
      </c>
      <c r="H13" s="7">
        <f>IF(B13&gt;0,G13/B13,0)</f>
        <v>100910.21928009929</v>
      </c>
    </row>
    <row r="14" spans="1:8" ht="15" customHeight="1" x14ac:dyDescent="0.35">
      <c r="A14" s="3" t="s">
        <v>20</v>
      </c>
      <c r="B14" s="3">
        <v>68.25</v>
      </c>
      <c r="C14" s="4">
        <v>2865977.2035729699</v>
      </c>
      <c r="D14" s="5">
        <f>C14/B14</f>
        <v>41992.339979091135</v>
      </c>
      <c r="E14" s="4">
        <v>2594022.7964270301</v>
      </c>
      <c r="F14" s="6">
        <f>E14/B14</f>
        <v>38007.660020908865</v>
      </c>
      <c r="G14" s="7">
        <v>2984000</v>
      </c>
      <c r="H14" s="7">
        <f>IF(B14&gt;0,G14/B14,0)</f>
        <v>43721.61172161172</v>
      </c>
    </row>
    <row r="15" spans="1:8" ht="15" customHeight="1" x14ac:dyDescent="0.35">
      <c r="A15" s="3" t="s">
        <v>21</v>
      </c>
      <c r="B15" s="3">
        <v>66.55</v>
      </c>
      <c r="C15" s="4">
        <v>2804755.0036911899</v>
      </c>
      <c r="D15" s="5">
        <f>C15/B15</f>
        <v>42145.078943519009</v>
      </c>
      <c r="E15" s="4">
        <v>8332105.3432620401</v>
      </c>
      <c r="F15" s="6">
        <f>E15/B15</f>
        <v>125200.68134127784</v>
      </c>
      <c r="G15" s="7">
        <v>9582000</v>
      </c>
      <c r="H15" s="7">
        <f>IF(B15&gt;0,G15/B15,0)</f>
        <v>143981.96844477838</v>
      </c>
    </row>
    <row r="16" spans="1:8" ht="15" customHeight="1" x14ac:dyDescent="0.35">
      <c r="A16" s="3" t="s">
        <v>22</v>
      </c>
      <c r="B16" s="3">
        <v>62</v>
      </c>
      <c r="C16" s="4">
        <v>2603946.0127254599</v>
      </c>
      <c r="D16" s="5">
        <f>C16/B16</f>
        <v>41999.129237507419</v>
      </c>
      <c r="E16" s="4">
        <v>4724921.2196191</v>
      </c>
      <c r="F16" s="6">
        <f>E16/B16</f>
        <v>76208.406768050001</v>
      </c>
      <c r="G16" s="7">
        <v>5434000</v>
      </c>
      <c r="H16" s="7">
        <f>IF(B16&gt;0,G16/B16,0)</f>
        <v>87645.161290322576</v>
      </c>
    </row>
    <row r="17" spans="1:8" ht="15" customHeight="1" x14ac:dyDescent="0.35">
      <c r="A17" s="3" t="s">
        <v>23</v>
      </c>
      <c r="B17" s="3">
        <v>50</v>
      </c>
      <c r="C17" s="4">
        <v>2096948.68084848</v>
      </c>
      <c r="D17" s="5">
        <f>C17/B17</f>
        <v>41938.973616969597</v>
      </c>
      <c r="E17" s="4">
        <v>1994705.88605012</v>
      </c>
      <c r="F17" s="6">
        <f>E17/B17</f>
        <v>39894.117721002403</v>
      </c>
      <c r="G17" s="7">
        <v>2294000</v>
      </c>
      <c r="H17" s="7">
        <f>IF(B17&gt;0,G17/B17,0)</f>
        <v>45880</v>
      </c>
    </row>
    <row r="18" spans="1:8" ht="15" customHeight="1" x14ac:dyDescent="0.35">
      <c r="A18" s="3" t="s">
        <v>24</v>
      </c>
      <c r="B18" s="3">
        <v>83.49</v>
      </c>
      <c r="C18" s="4">
        <v>3503855.2427407401</v>
      </c>
      <c r="D18" s="5">
        <f>C18/B18</f>
        <v>41967.364268064921</v>
      </c>
      <c r="E18" s="4">
        <v>2538096</v>
      </c>
      <c r="F18" s="6">
        <f>E18/B18</f>
        <v>30400.000000000004</v>
      </c>
      <c r="G18" s="7">
        <v>2919000</v>
      </c>
      <c r="H18" s="7">
        <f>IF(B18&gt;0,G18/B18,0)</f>
        <v>34962.270930650382</v>
      </c>
    </row>
    <row r="19" spans="1:8" ht="15" customHeight="1" x14ac:dyDescent="0.35">
      <c r="A19" s="3" t="s">
        <v>25</v>
      </c>
      <c r="B19" s="3">
        <v>80.88</v>
      </c>
      <c r="C19" s="4">
        <v>3386074.7911568</v>
      </c>
      <c r="D19" s="5">
        <f>C19/B19</f>
        <v>41865.415320929773</v>
      </c>
      <c r="E19" s="4">
        <v>2458752</v>
      </c>
      <c r="F19" s="6">
        <f>E19/B19</f>
        <v>30400</v>
      </c>
      <c r="G19" s="7">
        <v>2828000</v>
      </c>
      <c r="H19" s="7">
        <f>IF(B19&gt;0,G19/B19,0)</f>
        <v>34965.380811078139</v>
      </c>
    </row>
    <row r="20" spans="1:8" ht="15" customHeight="1" x14ac:dyDescent="0.35">
      <c r="A20" s="3" t="s">
        <v>26</v>
      </c>
      <c r="B20" s="3">
        <v>70.28</v>
      </c>
      <c r="C20" s="4">
        <v>2940299.6591616101</v>
      </c>
      <c r="D20" s="5">
        <f>C20/B20</f>
        <v>41836.933112715</v>
      </c>
      <c r="E20" s="4">
        <v>8470700.2316396199</v>
      </c>
      <c r="F20" s="6">
        <f>E20/B20</f>
        <v>120527.89174216875</v>
      </c>
      <c r="G20" s="7">
        <v>9742000</v>
      </c>
      <c r="H20" s="7">
        <f>IF(B20&gt;0,G20/B20,0)</f>
        <v>138616.9607285145</v>
      </c>
    </row>
    <row r="21" spans="1:8" ht="15" customHeight="1" x14ac:dyDescent="0.35">
      <c r="A21" s="3" t="s">
        <v>27</v>
      </c>
      <c r="B21" s="3">
        <v>68.84</v>
      </c>
      <c r="C21" s="4">
        <v>2887765.4373303601</v>
      </c>
      <c r="D21" s="5">
        <f>C21/B21</f>
        <v>41948.94592286984</v>
      </c>
      <c r="E21" s="4">
        <v>8648357.3139118105</v>
      </c>
      <c r="F21" s="6">
        <f>E21/B21</f>
        <v>125629.82733747545</v>
      </c>
      <c r="G21" s="7">
        <v>9946000</v>
      </c>
      <c r="H21" s="7">
        <f>IF(B21&gt;0,G21/B21,0)</f>
        <v>144479.95351539803</v>
      </c>
    </row>
    <row r="22" spans="1:8" ht="15" customHeight="1" x14ac:dyDescent="0.35">
      <c r="A22" s="3" t="s">
        <v>28</v>
      </c>
      <c r="B22" s="3">
        <v>66.989999999999995</v>
      </c>
      <c r="C22" s="4">
        <v>2809108.0455877599</v>
      </c>
      <c r="D22" s="5">
        <f>C22/B22</f>
        <v>41933.244448242425</v>
      </c>
      <c r="E22" s="4">
        <v>5166043.0884392997</v>
      </c>
      <c r="F22" s="6">
        <f>E22/B22</f>
        <v>77116.630667850433</v>
      </c>
      <c r="G22" s="7">
        <v>5941000</v>
      </c>
      <c r="H22" s="7">
        <f>IF(B22&gt;0,G22/B22,0)</f>
        <v>88684.878340050767</v>
      </c>
    </row>
    <row r="23" spans="1:8" ht="15" customHeight="1" x14ac:dyDescent="0.35">
      <c r="A23" s="3" t="s">
        <v>29</v>
      </c>
      <c r="B23" s="3">
        <v>70.41</v>
      </c>
      <c r="C23" s="4">
        <v>2979422.7190029402</v>
      </c>
      <c r="D23" s="5">
        <f>C23/B23</f>
        <v>42315.334739425372</v>
      </c>
      <c r="E23" s="4">
        <v>5838027.3094579801</v>
      </c>
      <c r="F23" s="6">
        <f>E23/B23</f>
        <v>82914.746619201542</v>
      </c>
      <c r="G23" s="7">
        <v>6714000</v>
      </c>
      <c r="H23" s="7">
        <f>IF(B23&gt;0,G23/B23,0)</f>
        <v>95355.773327652321</v>
      </c>
    </row>
    <row r="24" spans="1:8" ht="15" customHeight="1" x14ac:dyDescent="0.35">
      <c r="A24" s="3" t="s">
        <v>30</v>
      </c>
      <c r="B24" s="3">
        <v>63.79</v>
      </c>
      <c r="C24" s="4">
        <v>2660504.26442762</v>
      </c>
      <c r="D24" s="5">
        <f>C24/B24</f>
        <v>41707.230983345667</v>
      </c>
      <c r="E24" s="4">
        <v>5667719.4918980896</v>
      </c>
      <c r="F24" s="6">
        <f>E24/B24</f>
        <v>88849.654991348012</v>
      </c>
      <c r="G24" s="7">
        <v>6518000</v>
      </c>
      <c r="H24" s="7">
        <f>IF(B24&gt;0,G24/B24,0)</f>
        <v>102179.02492553691</v>
      </c>
    </row>
    <row r="25" spans="1:8" ht="15" customHeight="1" x14ac:dyDescent="0.35">
      <c r="A25" s="3" t="s">
        <v>31</v>
      </c>
      <c r="B25" s="3">
        <v>63.95</v>
      </c>
      <c r="C25" s="4">
        <v>2673915.42641753</v>
      </c>
      <c r="D25" s="5">
        <f>C25/B25</f>
        <v>41812.594627326507</v>
      </c>
      <c r="E25" s="4">
        <v>7311313.9722592998</v>
      </c>
      <c r="F25" s="6">
        <f>E25/B25</f>
        <v>114328.60003532916</v>
      </c>
      <c r="G25" s="7">
        <v>8409000</v>
      </c>
      <c r="H25" s="7">
        <f>IF(B25&gt;0,G25/B25,0)</f>
        <v>131493.35418295543</v>
      </c>
    </row>
    <row r="26" spans="1:8" ht="15" customHeight="1" x14ac:dyDescent="0.35">
      <c r="A26" s="3" t="s">
        <v>32</v>
      </c>
      <c r="B26" s="3">
        <v>65.37</v>
      </c>
      <c r="C26" s="4">
        <v>2743473.56804966</v>
      </c>
      <c r="D26" s="5">
        <f>C26/B26</f>
        <v>41968.388680582219</v>
      </c>
      <c r="E26" s="4">
        <v>7256888.78188721</v>
      </c>
      <c r="F26" s="6">
        <f>E26/B26</f>
        <v>111012.52534629355</v>
      </c>
      <c r="G26" s="7">
        <v>8346000</v>
      </c>
      <c r="H26" s="7">
        <f>IF(B26&gt;0,G26/B26,0)</f>
        <v>127673.24460761817</v>
      </c>
    </row>
    <row r="27" spans="1:8" ht="15" customHeight="1" x14ac:dyDescent="0.35">
      <c r="A27" s="3" t="s">
        <v>33</v>
      </c>
      <c r="B27" s="3">
        <v>106.68</v>
      </c>
      <c r="C27" s="4">
        <v>4081813.8542771898</v>
      </c>
      <c r="D27" s="5">
        <f>C27/B27</f>
        <v>38262.222106085392</v>
      </c>
      <c r="E27" s="4">
        <v>6758479.7202777499</v>
      </c>
      <c r="F27" s="6">
        <f>E27/B27</f>
        <v>63352.828274069645</v>
      </c>
      <c r="G27" s="7">
        <v>7773000</v>
      </c>
      <c r="H27" s="7">
        <f>IF(B27&gt;0,G27/B27,0)</f>
        <v>72862.767154105735</v>
      </c>
    </row>
    <row r="28" spans="1:8" ht="15" customHeight="1" x14ac:dyDescent="0.35">
      <c r="A28" s="3" t="s">
        <v>34</v>
      </c>
      <c r="B28" s="3">
        <v>112.86</v>
      </c>
      <c r="C28" s="4">
        <v>4331759.9369699396</v>
      </c>
      <c r="D28" s="5">
        <f>C28/B28</f>
        <v>38381.711296916001</v>
      </c>
      <c r="E28" s="4">
        <v>6758479.7202777499</v>
      </c>
      <c r="F28" s="6">
        <f>E28/B28</f>
        <v>59883.747299997784</v>
      </c>
      <c r="G28" s="7">
        <v>7773000</v>
      </c>
      <c r="H28" s="7">
        <f>IF(B28&gt;0,G28/B28,0)</f>
        <v>68872.939925571511</v>
      </c>
    </row>
    <row r="29" spans="1:8" ht="15" customHeight="1" x14ac:dyDescent="0.35">
      <c r="A29" s="3" t="s">
        <v>35</v>
      </c>
      <c r="B29" s="3">
        <v>572.33000000000004</v>
      </c>
      <c r="C29" s="4">
        <v>10027863.373474499</v>
      </c>
      <c r="D29" s="5">
        <f>C29/B29</f>
        <v>17521.121334674921</v>
      </c>
      <c r="E29" s="4">
        <v>21808176.469482601</v>
      </c>
      <c r="F29" s="6">
        <f>E29/B29</f>
        <v>38104.199446966959</v>
      </c>
      <c r="G29" s="7">
        <v>25080000</v>
      </c>
      <c r="H29" s="7">
        <f>IF(B29&gt;0,G29/B29,0)</f>
        <v>43820.872573515277</v>
      </c>
    </row>
    <row r="30" spans="1:8" ht="15" customHeight="1" x14ac:dyDescent="0.35">
      <c r="A30" s="3" t="s">
        <v>36</v>
      </c>
      <c r="B30" s="3">
        <v>208.27</v>
      </c>
      <c r="C30" s="4">
        <v>3649123.9403727399</v>
      </c>
      <c r="D30" s="5">
        <f>C30/B30</f>
        <v>17521.121334674892</v>
      </c>
      <c r="E30" s="4">
        <v>7935961.6188198105</v>
      </c>
      <c r="F30" s="6">
        <f>E30/B30</f>
        <v>38104.199446966966</v>
      </c>
      <c r="G30" s="7">
        <v>9127000</v>
      </c>
      <c r="H30" s="7">
        <f>IF(B30&gt;0,G30/B30,0)</f>
        <v>43822.922168339173</v>
      </c>
    </row>
    <row r="31" spans="1:8" ht="15" customHeight="1" x14ac:dyDescent="0.35">
      <c r="A31" s="3" t="s">
        <v>37</v>
      </c>
      <c r="B31" s="3">
        <v>26.64</v>
      </c>
      <c r="C31" s="4">
        <v>1083653.1711629799</v>
      </c>
      <c r="D31" s="5">
        <f>C31/B31</f>
        <v>40677.67159020195</v>
      </c>
      <c r="E31" s="4">
        <v>3178987.28647125</v>
      </c>
      <c r="F31" s="6">
        <f>E31/B31</f>
        <v>119331.35459726914</v>
      </c>
      <c r="G31" s="7">
        <v>3656000</v>
      </c>
      <c r="H31" s="7">
        <f>IF(B31&gt;0,G31/B31,0)</f>
        <v>137237.23723723725</v>
      </c>
    </row>
    <row r="32" spans="1:8" ht="15" customHeight="1" x14ac:dyDescent="0.35">
      <c r="A32" s="3" t="s">
        <v>38</v>
      </c>
      <c r="B32" s="3">
        <v>61.65</v>
      </c>
      <c r="C32" s="4">
        <v>2564452.8108413299</v>
      </c>
      <c r="D32" s="5">
        <f>C32/B32</f>
        <v>41596.963679502514</v>
      </c>
      <c r="E32" s="4">
        <v>6647937.9117791299</v>
      </c>
      <c r="F32" s="6">
        <f>E32/B32</f>
        <v>107833.54277013999</v>
      </c>
      <c r="G32" s="7">
        <v>7646000</v>
      </c>
      <c r="H32" s="7">
        <f>IF(B32&gt;0,G32/B32,0)</f>
        <v>124022.70884022709</v>
      </c>
    </row>
    <row r="33" spans="1:8" ht="15" customHeight="1" x14ac:dyDescent="0.35">
      <c r="A33" s="3" t="s">
        <v>39</v>
      </c>
      <c r="B33" s="3">
        <v>98.16</v>
      </c>
      <c r="C33" s="4">
        <v>4176521.4055958898</v>
      </c>
      <c r="D33" s="5">
        <f>C33/B33</f>
        <v>42548.099079012733</v>
      </c>
      <c r="E33" s="4">
        <v>-606771.31837150396</v>
      </c>
      <c r="F33" s="6">
        <f>E33/B33</f>
        <v>-6181.4518986502035</v>
      </c>
      <c r="G33" s="7">
        <v>7314000</v>
      </c>
      <c r="H33" s="7">
        <f>IF(B33&gt;0,G33/B33,0)</f>
        <v>74511.002444987782</v>
      </c>
    </row>
    <row r="34" spans="1:8" ht="15" customHeight="1" x14ac:dyDescent="0.35">
      <c r="A34" s="3" t="s">
        <v>40</v>
      </c>
      <c r="B34" s="3">
        <v>82.6</v>
      </c>
      <c r="C34" s="4">
        <v>3477773.2028465201</v>
      </c>
      <c r="D34" s="5">
        <f>C34/B34</f>
        <v>42103.791802015985</v>
      </c>
      <c r="E34" s="4">
        <v>91976.884377865106</v>
      </c>
      <c r="F34" s="6">
        <f>E34/B34</f>
        <v>1113.5216026375922</v>
      </c>
      <c r="G34" s="7">
        <v>6839000</v>
      </c>
      <c r="H34" s="7">
        <f>IF(B34&gt;0,G34/B34,0)</f>
        <v>82796.610169491527</v>
      </c>
    </row>
    <row r="35" spans="1:8" ht="15" customHeight="1" x14ac:dyDescent="0.35">
      <c r="A35" s="3" t="s">
        <v>41</v>
      </c>
      <c r="B35" s="3">
        <v>82.95</v>
      </c>
      <c r="C35" s="4">
        <v>3429592.0229118499</v>
      </c>
      <c r="D35" s="5">
        <f>C35/B35</f>
        <v>41345.292620998793</v>
      </c>
      <c r="E35" s="4">
        <v>140158.06431253499</v>
      </c>
      <c r="F35" s="6">
        <f>E35/B35</f>
        <v>1689.6692503018082</v>
      </c>
      <c r="G35" s="7">
        <v>6868000</v>
      </c>
      <c r="H35" s="7">
        <f>IF(B35&gt;0,G35/B35,0)</f>
        <v>82796.865581675709</v>
      </c>
    </row>
    <row r="36" spans="1:8" ht="15" customHeight="1" x14ac:dyDescent="0.35">
      <c r="A36" s="3" t="s">
        <v>42</v>
      </c>
      <c r="B36" s="3">
        <v>599.27</v>
      </c>
      <c r="C36" s="4">
        <v>9913616.5490106009</v>
      </c>
      <c r="D36" s="5">
        <f>C36/B36</f>
        <v>16542.821347657318</v>
      </c>
      <c r="E36" s="4">
        <v>24661478.652552899</v>
      </c>
      <c r="F36" s="6">
        <f>E36/B36</f>
        <v>41152.533336480883</v>
      </c>
      <c r="G36" s="7">
        <v>28361000</v>
      </c>
      <c r="H36" s="7">
        <f>IF(B36&gt;0,G36/B36,0)</f>
        <v>47325.913194386507</v>
      </c>
    </row>
    <row r="37" spans="1:8" ht="15" customHeight="1" x14ac:dyDescent="0.35">
      <c r="A37" s="3" t="s">
        <v>43</v>
      </c>
      <c r="B37" s="3">
        <v>72.209999999999994</v>
      </c>
      <c r="C37" s="4">
        <v>1895877.26980782</v>
      </c>
      <c r="D37" s="5">
        <f>C37/B37</f>
        <v>26255.051513749066</v>
      </c>
      <c r="E37" s="4">
        <v>2527350</v>
      </c>
      <c r="F37" s="6">
        <f>E37/B37</f>
        <v>35000</v>
      </c>
      <c r="G37" s="7">
        <v>2907000</v>
      </c>
      <c r="H37" s="7">
        <f>IF(B37&gt;0,G37/B37,0)</f>
        <v>40257.582052347323</v>
      </c>
    </row>
    <row r="38" spans="1:8" ht="15" customHeight="1" x14ac:dyDescent="0.35">
      <c r="A38" s="3" t="s">
        <v>44</v>
      </c>
      <c r="B38" s="3">
        <v>68.88</v>
      </c>
      <c r="C38" s="4">
        <v>1807949.3398547</v>
      </c>
      <c r="D38" s="5">
        <f>C38/B38</f>
        <v>26247.81271566057</v>
      </c>
      <c r="E38" s="4">
        <v>2410800</v>
      </c>
      <c r="F38" s="6">
        <f>E38/B38</f>
        <v>35000</v>
      </c>
      <c r="G38" s="7">
        <v>2773000</v>
      </c>
      <c r="H38" s="7">
        <f>IF(B38&gt;0,G38/B38,0)</f>
        <v>40258.420441347276</v>
      </c>
    </row>
    <row r="39" spans="1:8" ht="15" customHeight="1" x14ac:dyDescent="0.35">
      <c r="A39" s="3" t="s">
        <v>45</v>
      </c>
      <c r="B39" s="3">
        <v>65.400000000000006</v>
      </c>
      <c r="C39" s="4">
        <v>1714768.45427134</v>
      </c>
      <c r="D39" s="5">
        <f>C39/B39</f>
        <v>26219.701135647399</v>
      </c>
      <c r="E39" s="4">
        <v>2289000</v>
      </c>
      <c r="F39" s="6">
        <f>E39/B39</f>
        <v>35000</v>
      </c>
      <c r="G39" s="7">
        <v>2633000</v>
      </c>
      <c r="H39" s="7">
        <f>IF(B39&gt;0,G39/B39,0)</f>
        <v>40259.938837920483</v>
      </c>
    </row>
    <row r="40" spans="1:8" ht="15" customHeight="1" x14ac:dyDescent="0.35">
      <c r="A40" s="3" t="s">
        <v>46</v>
      </c>
      <c r="B40" s="3">
        <v>57.2</v>
      </c>
      <c r="C40" s="4">
        <v>1463729.5336718</v>
      </c>
      <c r="D40" s="5">
        <f>C40/B40</f>
        <v>25589.677162094406</v>
      </c>
      <c r="E40" s="4">
        <v>2002000</v>
      </c>
      <c r="F40" s="6">
        <f>E40/B40</f>
        <v>35000</v>
      </c>
      <c r="G40" s="7">
        <v>2303000</v>
      </c>
      <c r="H40" s="7">
        <f>IF(B40&gt;0,G40/B40,0)</f>
        <v>40262.237762237761</v>
      </c>
    </row>
    <row r="41" spans="1:8" ht="15" customHeight="1" x14ac:dyDescent="0.35">
      <c r="A41" s="3" t="s">
        <v>47</v>
      </c>
      <c r="B41" s="3">
        <v>28.56</v>
      </c>
      <c r="C41" s="4">
        <v>1861019.1999602099</v>
      </c>
      <c r="D41" s="5">
        <f>C41/B41</f>
        <v>65161.736693284663</v>
      </c>
      <c r="E41" s="4">
        <v>5147347.1624790402</v>
      </c>
      <c r="F41" s="6">
        <f>E41/B41</f>
        <v>180229.24238371992</v>
      </c>
      <c r="G41" s="7">
        <v>5920000</v>
      </c>
      <c r="H41" s="7">
        <f>IF(B41&gt;0,G41/B41,0)</f>
        <v>207282.9131652661</v>
      </c>
    </row>
    <row r="42" spans="1:8" ht="15" customHeight="1" x14ac:dyDescent="0.35">
      <c r="A42" s="3" t="s">
        <v>48</v>
      </c>
      <c r="B42" s="3">
        <v>22.71</v>
      </c>
      <c r="C42" s="4">
        <v>1473658.5933503199</v>
      </c>
      <c r="D42" s="5">
        <f>C42/B42</f>
        <v>64890.294731409944</v>
      </c>
      <c r="E42" s="4">
        <v>2838750</v>
      </c>
      <c r="F42" s="6">
        <f>E42/B42</f>
        <v>125000</v>
      </c>
      <c r="G42" s="7">
        <v>3265000</v>
      </c>
      <c r="H42" s="7">
        <f>IF(B42&gt;0,G42/B42,0)</f>
        <v>143769.26464112726</v>
      </c>
    </row>
    <row r="43" spans="1:8" ht="15" customHeight="1" x14ac:dyDescent="0.35">
      <c r="A43" s="3" t="s">
        <v>49</v>
      </c>
      <c r="B43" s="3">
        <v>25.44</v>
      </c>
      <c r="C43" s="4">
        <v>1653321.0961996899</v>
      </c>
      <c r="D43" s="5">
        <f>C43/B43</f>
        <v>64989.036800302274</v>
      </c>
      <c r="E43" s="4">
        <v>0</v>
      </c>
      <c r="F43" s="6">
        <f>E43/B43</f>
        <v>0</v>
      </c>
      <c r="G43" s="7">
        <v>4630000</v>
      </c>
      <c r="H43" s="7">
        <f>IF(B43&gt;0,G43/B43,0)</f>
        <v>181996.85534591193</v>
      </c>
    </row>
    <row r="44" spans="1:8" ht="15" customHeight="1" x14ac:dyDescent="0.35">
      <c r="A44" s="3" t="s">
        <v>50</v>
      </c>
      <c r="B44" s="3">
        <v>37.01</v>
      </c>
      <c r="C44" s="4">
        <v>2435017.9098963002</v>
      </c>
      <c r="D44" s="5">
        <f>C44/B44</f>
        <v>65793.512831567146</v>
      </c>
      <c r="E44" s="4">
        <v>4626250</v>
      </c>
      <c r="F44" s="6">
        <f>E44/B44</f>
        <v>125000</v>
      </c>
      <c r="G44" s="7">
        <v>5321000</v>
      </c>
      <c r="H44" s="7">
        <f>IF(B44&gt;0,G44/B44,0)</f>
        <v>143771.95352607404</v>
      </c>
    </row>
    <row r="45" spans="1:8" ht="15" customHeight="1" x14ac:dyDescent="0.35">
      <c r="A45" s="3" t="s">
        <v>51</v>
      </c>
      <c r="B45" s="3">
        <v>36.619999999999997</v>
      </c>
      <c r="C45" s="4">
        <v>2414328.0515047801</v>
      </c>
      <c r="D45" s="5">
        <f>C45/B45</f>
        <v>65929.220412473514</v>
      </c>
      <c r="E45" s="4">
        <v>5669855.8593783602</v>
      </c>
      <c r="F45" s="6">
        <f>E45/B45</f>
        <v>154829.48824080723</v>
      </c>
      <c r="G45" s="7">
        <v>6521000</v>
      </c>
      <c r="H45" s="7">
        <f>IF(B45&gt;0,G45/B45,0)</f>
        <v>178072.09175314038</v>
      </c>
    </row>
    <row r="46" spans="1:8" ht="15" customHeight="1" x14ac:dyDescent="0.35">
      <c r="A46" s="3" t="s">
        <v>52</v>
      </c>
      <c r="B46" s="3">
        <v>31.46</v>
      </c>
      <c r="C46" s="4">
        <v>2061430.79696084</v>
      </c>
      <c r="D46" s="5">
        <f>C46/B46</f>
        <v>65525.4544488506</v>
      </c>
      <c r="E46" s="4">
        <v>5023315.3136962596</v>
      </c>
      <c r="F46" s="6">
        <f>E46/B46</f>
        <v>159673.08689435027</v>
      </c>
      <c r="G46" s="7">
        <v>5777000</v>
      </c>
      <c r="H46" s="7">
        <f>IF(B46&gt;0,G46/B46,0)</f>
        <v>183630.00635727908</v>
      </c>
    </row>
    <row r="47" spans="1:8" ht="15" customHeight="1" x14ac:dyDescent="0.35">
      <c r="A47" s="3" t="s">
        <v>53</v>
      </c>
      <c r="B47" s="3">
        <v>27.2</v>
      </c>
      <c r="C47" s="4">
        <v>1770973.2596342501</v>
      </c>
      <c r="D47" s="5">
        <f>C47/B47</f>
        <v>65109.311015965075</v>
      </c>
      <c r="E47" s="4">
        <v>11153764.683057601</v>
      </c>
      <c r="F47" s="6">
        <f>E47/B47</f>
        <v>410064.87805358827</v>
      </c>
      <c r="G47" s="7">
        <v>12827000</v>
      </c>
      <c r="H47" s="7">
        <f>IF(B47&gt;0,G47/B47,0)</f>
        <v>471580.8823529412</v>
      </c>
    </row>
    <row r="48" spans="1:8" ht="15" customHeight="1" x14ac:dyDescent="0.35">
      <c r="A48" s="3" t="s">
        <v>54</v>
      </c>
      <c r="B48" s="3">
        <v>27.57</v>
      </c>
      <c r="C48" s="4">
        <v>1791663.1180257699</v>
      </c>
      <c r="D48" s="5">
        <f>C48/B48</f>
        <v>64985.967284213635</v>
      </c>
      <c r="E48" s="4">
        <v>3308400</v>
      </c>
      <c r="F48" s="6">
        <f>E48/B48</f>
        <v>120000</v>
      </c>
      <c r="G48" s="7">
        <v>3805000</v>
      </c>
      <c r="H48" s="7">
        <f>IF(B48&gt;0,G48/B48,0)</f>
        <v>138012.33224519406</v>
      </c>
    </row>
    <row r="49" spans="1:8" ht="15" customHeight="1" x14ac:dyDescent="0.35">
      <c r="A49" s="3" t="s">
        <v>55</v>
      </c>
      <c r="B49" s="3">
        <v>25.34</v>
      </c>
      <c r="C49" s="4">
        <v>1618857.74413374</v>
      </c>
      <c r="D49" s="5">
        <f>C49/B49</f>
        <v>63885.46740859274</v>
      </c>
      <c r="E49" s="4">
        <v>0</v>
      </c>
      <c r="F49" s="6">
        <f>E49/B49</f>
        <v>0</v>
      </c>
      <c r="G49" s="7">
        <v>4612000</v>
      </c>
      <c r="H49" s="7">
        <f>IF(B49&gt;0,G49/B49,0)</f>
        <v>182004.73559589582</v>
      </c>
    </row>
    <row r="50" spans="1:8" ht="15" customHeight="1" x14ac:dyDescent="0.35">
      <c r="A50" s="3" t="s">
        <v>56</v>
      </c>
      <c r="B50" s="3">
        <v>22.91</v>
      </c>
      <c r="C50" s="4">
        <v>1480515.7223076599</v>
      </c>
      <c r="D50" s="5">
        <f>C50/B50</f>
        <v>64623.121881608902</v>
      </c>
      <c r="E50" s="4">
        <v>3367630.5717137102</v>
      </c>
      <c r="F50" s="6">
        <f>E50/B50</f>
        <v>146993.91408615059</v>
      </c>
      <c r="G50" s="7">
        <v>3873000</v>
      </c>
      <c r="H50" s="7">
        <f>IF(B50&gt;0,G50/B50,0)</f>
        <v>169052.81536446966</v>
      </c>
    </row>
    <row r="51" spans="1:8" ht="15" customHeight="1" x14ac:dyDescent="0.35">
      <c r="A51" s="3" t="s">
        <v>57</v>
      </c>
      <c r="B51" s="3">
        <v>43.25</v>
      </c>
      <c r="C51" s="4">
        <v>2850354.8816575902</v>
      </c>
      <c r="D51" s="5">
        <f>C51/B51</f>
        <v>65904.15911347029</v>
      </c>
      <c r="E51" s="4">
        <v>6710680.81019508</v>
      </c>
      <c r="F51" s="6">
        <f>E51/B51</f>
        <v>155160.24994670704</v>
      </c>
      <c r="G51" s="7">
        <v>7718000</v>
      </c>
      <c r="H51" s="7">
        <f>IF(B51&gt;0,G51/B51,0)</f>
        <v>178450.86705202312</v>
      </c>
    </row>
    <row r="52" spans="1:8" ht="15" customHeight="1" x14ac:dyDescent="0.35">
      <c r="A52" s="3" t="s">
        <v>58</v>
      </c>
      <c r="B52" s="3">
        <v>31.39</v>
      </c>
      <c r="C52" s="4">
        <v>2020051.08017781</v>
      </c>
      <c r="D52" s="5">
        <f>C52/B52</f>
        <v>64353.331639942975</v>
      </c>
      <c r="E52" s="4">
        <v>5082105.8914490398</v>
      </c>
      <c r="F52" s="6">
        <f>E52/B52</f>
        <v>161902.06726502196</v>
      </c>
      <c r="G52" s="7">
        <v>5845000</v>
      </c>
      <c r="H52" s="7">
        <f>IF(B52&gt;0,G52/B52,0)</f>
        <v>186205.79802484869</v>
      </c>
    </row>
    <row r="53" spans="1:8" ht="15" customHeight="1" x14ac:dyDescent="0.35">
      <c r="A53" s="3" t="s">
        <v>59</v>
      </c>
      <c r="B53" s="3">
        <v>121.52</v>
      </c>
      <c r="C53" s="4">
        <v>4688962.56668936</v>
      </c>
      <c r="D53" s="5">
        <f>C53/B53</f>
        <v>38585.932905606976</v>
      </c>
      <c r="E53" s="4">
        <v>12337115.156352</v>
      </c>
      <c r="F53" s="6">
        <f>E53/B53</f>
        <v>101523.3307797235</v>
      </c>
      <c r="G53" s="7">
        <v>14188000</v>
      </c>
      <c r="H53" s="7">
        <f>IF(B53&gt;0,G53/B53,0)</f>
        <v>116754.44371296906</v>
      </c>
    </row>
    <row r="54" spans="1:8" ht="15" customHeight="1" x14ac:dyDescent="0.35">
      <c r="A54" s="3" t="s">
        <v>60</v>
      </c>
      <c r="B54" s="3">
        <v>44.65</v>
      </c>
      <c r="C54" s="4">
        <v>1821876.47005387</v>
      </c>
      <c r="D54" s="5">
        <f>C54/B54</f>
        <v>40803.504368507725</v>
      </c>
      <c r="E54" s="4">
        <v>2455750</v>
      </c>
      <c r="F54" s="6">
        <f>E54/B54</f>
        <v>55000</v>
      </c>
      <c r="G54" s="7">
        <v>2825000</v>
      </c>
      <c r="H54" s="7">
        <f>IF(B54&gt;0,G54/B54,0)</f>
        <v>63269.87681970885</v>
      </c>
    </row>
    <row r="55" spans="1:8" ht="15" customHeight="1" x14ac:dyDescent="0.35">
      <c r="A55" s="3" t="s">
        <v>61</v>
      </c>
      <c r="B55" s="3">
        <v>54.52</v>
      </c>
      <c r="C55" s="4">
        <v>2258575.3762131301</v>
      </c>
      <c r="D55" s="5">
        <f>C55/B55</f>
        <v>41426.547619463134</v>
      </c>
      <c r="E55" s="4">
        <v>2998600</v>
      </c>
      <c r="F55" s="6">
        <f>E55/B55</f>
        <v>55000</v>
      </c>
      <c r="G55" s="7">
        <v>3449000</v>
      </c>
      <c r="H55" s="7">
        <f>IF(B55&gt;0,G55/B55,0)</f>
        <v>63261.188554658838</v>
      </c>
    </row>
    <row r="56" spans="1:8" ht="15" customHeight="1" x14ac:dyDescent="0.35">
      <c r="A56" s="3" t="s">
        <v>62</v>
      </c>
      <c r="B56" s="3">
        <v>83.25</v>
      </c>
      <c r="C56" s="4">
        <v>3512561.3265338899</v>
      </c>
      <c r="D56" s="5">
        <f>C56/B56</f>
        <v>42192.928847253934</v>
      </c>
      <c r="E56" s="4">
        <v>7094573.3250000002</v>
      </c>
      <c r="F56" s="6">
        <f>E56/B56</f>
        <v>85220.1</v>
      </c>
      <c r="G56" s="7">
        <v>8159000</v>
      </c>
      <c r="H56" s="7">
        <f>IF(B56&gt;0,G56/B56,0)</f>
        <v>98006.006006006006</v>
      </c>
    </row>
    <row r="57" spans="1:8" ht="15" customHeight="1" x14ac:dyDescent="0.35">
      <c r="A57" s="3" t="s">
        <v>63</v>
      </c>
      <c r="B57" s="3">
        <v>89.52</v>
      </c>
      <c r="C57" s="4">
        <v>3788003.6793713002</v>
      </c>
      <c r="D57" s="5">
        <f>C57/B57</f>
        <v>42314.607678410415</v>
      </c>
      <c r="E57" s="4">
        <v>6536774.3223078502</v>
      </c>
      <c r="F57" s="6">
        <f>E57/B57</f>
        <v>73020.267228639976</v>
      </c>
      <c r="G57" s="7">
        <v>7518000</v>
      </c>
      <c r="H57" s="7">
        <f>IF(B57&gt;0,G57/B57,0)</f>
        <v>83981.233243967828</v>
      </c>
    </row>
    <row r="58" spans="1:8" ht="15" customHeight="1" x14ac:dyDescent="0.35">
      <c r="A58" s="3" t="s">
        <v>64</v>
      </c>
      <c r="B58" s="3">
        <v>105.17</v>
      </c>
      <c r="C58" s="4">
        <v>4037985.6881276402</v>
      </c>
      <c r="D58" s="5">
        <f>C58/B58</f>
        <v>38394.843473686793</v>
      </c>
      <c r="E58" s="4">
        <v>5258500</v>
      </c>
      <c r="F58" s="6">
        <f>E58/B58</f>
        <v>50000</v>
      </c>
      <c r="G58" s="7">
        <v>6048000</v>
      </c>
      <c r="H58" s="7">
        <f>IF(B58&gt;0,G58/B58,0)</f>
        <v>57506.893600836738</v>
      </c>
    </row>
    <row r="59" spans="1:8" ht="15" customHeight="1" x14ac:dyDescent="0.35">
      <c r="A59" s="3" t="s">
        <v>65</v>
      </c>
      <c r="B59" s="3">
        <v>114.05</v>
      </c>
      <c r="C59" s="4">
        <v>4383417.3255649498</v>
      </c>
      <c r="D59" s="5">
        <f>C59/B59</f>
        <v>38434.172078605436</v>
      </c>
      <c r="E59" s="4">
        <v>5702500</v>
      </c>
      <c r="F59" s="6">
        <f>E59/B59</f>
        <v>50000</v>
      </c>
      <c r="G59" s="7">
        <v>6558000</v>
      </c>
      <c r="H59" s="7">
        <f>IF(B59&gt;0,G59/B59,0)</f>
        <v>57501.096010521702</v>
      </c>
    </row>
    <row r="60" spans="1:8" ht="15" customHeight="1" x14ac:dyDescent="0.35">
      <c r="A60" s="3" t="s">
        <v>66</v>
      </c>
      <c r="B60" s="3">
        <v>78.92</v>
      </c>
      <c r="C60" s="4">
        <v>3446926.8489957899</v>
      </c>
      <c r="D60" s="5">
        <f>C60/B60</f>
        <v>43676.214508309553</v>
      </c>
      <c r="E60" s="4">
        <v>8433576.9172920696</v>
      </c>
      <c r="F60" s="6">
        <f>E60/B60</f>
        <v>106862.35323482096</v>
      </c>
      <c r="G60" s="7">
        <v>9699000</v>
      </c>
      <c r="H60" s="7">
        <f>IF(B60&gt;0,G60/B60,0)</f>
        <v>122896.60415610745</v>
      </c>
    </row>
    <row r="61" spans="1:8" ht="15" customHeight="1" x14ac:dyDescent="0.35">
      <c r="A61" s="3" t="s">
        <v>67</v>
      </c>
      <c r="B61" s="3">
        <v>78.8</v>
      </c>
      <c r="C61" s="4">
        <v>3446926.8489957899</v>
      </c>
      <c r="D61" s="5">
        <f>C61/B61</f>
        <v>43742.726510098859</v>
      </c>
      <c r="E61" s="4">
        <v>2229328.1578355902</v>
      </c>
      <c r="F61" s="6">
        <f>E61/B61</f>
        <v>28290.966469994801</v>
      </c>
      <c r="G61" s="7">
        <v>2564000</v>
      </c>
      <c r="H61" s="7">
        <f>IF(B61&gt;0,G61/B61,0)</f>
        <v>32538.07106598985</v>
      </c>
    </row>
    <row r="62" spans="1:8" ht="15" customHeight="1" x14ac:dyDescent="0.35">
      <c r="A62" s="3" t="s">
        <v>68</v>
      </c>
      <c r="B62" s="3">
        <v>134.9</v>
      </c>
      <c r="C62" s="4">
        <v>4313908.7657129802</v>
      </c>
      <c r="D62" s="5">
        <f>C62/B62</f>
        <v>31978.567573854558</v>
      </c>
      <c r="E62" s="4">
        <v>5361403.8987538302</v>
      </c>
      <c r="F62" s="6">
        <f>E62/B62</f>
        <v>39743.542614928316</v>
      </c>
      <c r="G62" s="7">
        <v>10492000</v>
      </c>
      <c r="H62" s="7">
        <f>IF(B62&gt;0,G62/B62,0)</f>
        <v>77776.130467012597</v>
      </c>
    </row>
    <row r="63" spans="1:8" ht="15" customHeight="1" x14ac:dyDescent="0.35">
      <c r="A63" s="3" t="s">
        <v>69</v>
      </c>
      <c r="B63" s="3">
        <v>158.84</v>
      </c>
      <c r="C63" s="4">
        <v>5104509.2883255798</v>
      </c>
      <c r="D63" s="5">
        <f>C63/B63</f>
        <v>32136.170286612818</v>
      </c>
      <c r="E63" s="4">
        <v>5361403.8987538302</v>
      </c>
      <c r="F63" s="6">
        <f>E63/B63</f>
        <v>33753.48714904199</v>
      </c>
      <c r="G63" s="7">
        <v>8220000</v>
      </c>
      <c r="H63" s="7">
        <f>IF(B63&gt;0,G63/B63,0)</f>
        <v>51750.188869302445</v>
      </c>
    </row>
    <row r="64" spans="1:8" ht="15" customHeight="1" x14ac:dyDescent="0.35">
      <c r="A64" s="3" t="s">
        <v>70</v>
      </c>
      <c r="B64" s="3">
        <v>154.15</v>
      </c>
      <c r="C64" s="4">
        <v>4952664.4201559601</v>
      </c>
      <c r="D64" s="5">
        <f>C64/B64</f>
        <v>32128.864224171</v>
      </c>
      <c r="E64" s="4">
        <v>8101236.8167515201</v>
      </c>
      <c r="F64" s="6">
        <f>E64/B64</f>
        <v>52554.244675650472</v>
      </c>
      <c r="G64" s="7">
        <v>7978000</v>
      </c>
      <c r="H64" s="7">
        <f>IF(B64&gt;0,G64/B64,0)</f>
        <v>51754.784301005515</v>
      </c>
    </row>
    <row r="65" spans="1:8" ht="15" customHeight="1" x14ac:dyDescent="0.35">
      <c r="A65" s="3" t="s">
        <v>71</v>
      </c>
      <c r="B65" s="3">
        <v>115.38</v>
      </c>
      <c r="C65" s="4">
        <v>4442922.04234803</v>
      </c>
      <c r="D65" s="5">
        <f>C65/B65</f>
        <v>38506.864641601926</v>
      </c>
      <c r="E65" s="4">
        <v>9885887.9587999992</v>
      </c>
      <c r="F65" s="6">
        <f>E65/B65</f>
        <v>85681.122887848847</v>
      </c>
      <c r="G65" s="7">
        <v>11369000</v>
      </c>
      <c r="H65" s="7">
        <f>IF(B65&gt;0,G65/B65,0)</f>
        <v>98535.274744323106</v>
      </c>
    </row>
    <row r="66" spans="1:8" ht="15" customHeight="1" x14ac:dyDescent="0.35">
      <c r="A66" s="3" t="s">
        <v>72</v>
      </c>
      <c r="B66" s="3">
        <v>110.38</v>
      </c>
      <c r="C66" s="4">
        <v>4248438.5408248203</v>
      </c>
      <c r="D66" s="5">
        <f>C66/B66</f>
        <v>38489.205841862844</v>
      </c>
      <c r="E66" s="4">
        <v>11735302.937905099</v>
      </c>
      <c r="F66" s="6">
        <f>E66/B66</f>
        <v>106317.29423722684</v>
      </c>
      <c r="G66" s="7">
        <v>13496000</v>
      </c>
      <c r="H66" s="7">
        <f>IF(B66&gt;0,G66/B66,0)</f>
        <v>122268.52690704838</v>
      </c>
    </row>
    <row r="67" spans="1:8" ht="15" customHeight="1" x14ac:dyDescent="0.35">
      <c r="A67" s="3" t="s">
        <v>73</v>
      </c>
      <c r="B67" s="3">
        <v>97.1</v>
      </c>
      <c r="C67" s="4">
        <v>4111257.0701005901</v>
      </c>
      <c r="D67" s="5">
        <f>C67/B67</f>
        <v>42340.443564372712</v>
      </c>
      <c r="E67" s="4">
        <v>2886595.3533393098</v>
      </c>
      <c r="F67" s="6">
        <f>E67/B67</f>
        <v>29728.067490621113</v>
      </c>
      <c r="G67" s="7">
        <v>3320000</v>
      </c>
      <c r="H67" s="7">
        <f>IF(B67&gt;0,G67/B67,0)</f>
        <v>34191.555097837285</v>
      </c>
    </row>
    <row r="68" spans="1:8" ht="15" customHeight="1" x14ac:dyDescent="0.35">
      <c r="A68" s="3" t="s">
        <v>74</v>
      </c>
      <c r="B68" s="3">
        <v>82.57</v>
      </c>
      <c r="C68" s="4">
        <v>3482126.2447430901</v>
      </c>
      <c r="D68" s="5">
        <f>C68/B68</f>
        <v>42171.808704651696</v>
      </c>
      <c r="E68" s="4">
        <v>2886595.3533393098</v>
      </c>
      <c r="F68" s="6">
        <f>E68/B68</f>
        <v>34959.372088401477</v>
      </c>
      <c r="G68" s="7">
        <v>3320000</v>
      </c>
      <c r="H68" s="7">
        <f>IF(B68&gt;0,G68/B68,0)</f>
        <v>40208.308102216302</v>
      </c>
    </row>
    <row r="69" spans="1:8" ht="15" customHeight="1" x14ac:dyDescent="0.35">
      <c r="A69" s="3" t="s">
        <v>75</v>
      </c>
      <c r="B69" s="3">
        <v>74.72</v>
      </c>
      <c r="C69" s="4">
        <v>3150166.7702206601</v>
      </c>
      <c r="D69" s="5">
        <f>C69/B69</f>
        <v>42159.619515801125</v>
      </c>
      <c r="E69" s="4">
        <v>5614227.7888132101</v>
      </c>
      <c r="F69" s="6">
        <f>E69/B69</f>
        <v>75136.881541932686</v>
      </c>
      <c r="G69" s="7">
        <v>6457000</v>
      </c>
      <c r="H69" s="7">
        <f>IF(B69&gt;0,G69/B69,0)</f>
        <v>86415.952890792294</v>
      </c>
    </row>
    <row r="70" spans="1:8" ht="15" customHeight="1" x14ac:dyDescent="0.35">
      <c r="A70" s="3" t="s">
        <v>76</v>
      </c>
      <c r="B70" s="3">
        <v>47.96</v>
      </c>
      <c r="C70" s="4">
        <v>2000897.2272622001</v>
      </c>
      <c r="D70" s="5">
        <f>C70/B70</f>
        <v>41720.125672689741</v>
      </c>
      <c r="E70" s="4">
        <v>6703520.9606667198</v>
      </c>
      <c r="F70" s="6">
        <f>E70/B70</f>
        <v>139773.16431748791</v>
      </c>
      <c r="G70" s="7">
        <v>7710000</v>
      </c>
      <c r="H70" s="7">
        <f>IF(B70&gt;0,G70/B70,0)</f>
        <v>160758.96580483735</v>
      </c>
    </row>
    <row r="71" spans="1:8" ht="15" customHeight="1" x14ac:dyDescent="0.35">
      <c r="A71" s="3" t="s">
        <v>77</v>
      </c>
      <c r="B71" s="3">
        <v>49.97</v>
      </c>
      <c r="C71" s="4">
        <v>2096948.68084848</v>
      </c>
      <c r="D71" s="5">
        <f>C71/B71</f>
        <v>41964.152108234543</v>
      </c>
      <c r="E71" s="4">
        <v>6841051.3063065596</v>
      </c>
      <c r="F71" s="6">
        <f>E71/B71</f>
        <v>136903.16802694736</v>
      </c>
      <c r="G71" s="7">
        <v>7868000</v>
      </c>
      <c r="H71" s="7">
        <f>IF(B71&gt;0,G71/B71,0)</f>
        <v>157454.47268361016</v>
      </c>
    </row>
    <row r="72" spans="1:8" ht="15" customHeight="1" x14ac:dyDescent="0.35">
      <c r="A72" s="3" t="s">
        <v>78</v>
      </c>
      <c r="B72" s="3">
        <v>56.99</v>
      </c>
      <c r="C72" s="4">
        <v>2381097.1174790398</v>
      </c>
      <c r="D72" s="5">
        <f>C72/B72</f>
        <v>41780.963633603082</v>
      </c>
      <c r="E72" s="4">
        <v>5465900.0547134802</v>
      </c>
      <c r="F72" s="6">
        <f>E72/B72</f>
        <v>95909.809698429191</v>
      </c>
      <c r="G72" s="7">
        <v>6286000</v>
      </c>
      <c r="H72" s="7">
        <f>IF(B72&gt;0,G72/B72,0)</f>
        <v>110300.05264081417</v>
      </c>
    </row>
    <row r="73" spans="1:8" ht="15" customHeight="1" x14ac:dyDescent="0.35">
      <c r="A73" s="3" t="s">
        <v>79</v>
      </c>
      <c r="B73" s="3">
        <v>66.069999999999993</v>
      </c>
      <c r="C73" s="4">
        <v>2765631.94384985</v>
      </c>
      <c r="D73" s="5">
        <f>C73/B73</f>
        <v>41859.118266230515</v>
      </c>
      <c r="E73" s="4">
        <v>3235365.6595388502</v>
      </c>
      <c r="F73" s="6">
        <f>E73/B73</f>
        <v>48968.755252593466</v>
      </c>
      <c r="G73" s="7">
        <v>3721000</v>
      </c>
      <c r="H73" s="7">
        <f>IF(B73&gt;0,G73/B73,0)</f>
        <v>56319.055547146971</v>
      </c>
    </row>
    <row r="74" spans="1:8" ht="15" customHeight="1" x14ac:dyDescent="0.35">
      <c r="A74" s="3" t="s">
        <v>80</v>
      </c>
      <c r="B74" s="3">
        <v>73.66</v>
      </c>
      <c r="C74" s="4">
        <v>3084550.3984251702</v>
      </c>
      <c r="D74" s="5">
        <f>C74/B74</f>
        <v>41875.514504821753</v>
      </c>
      <c r="E74" s="4">
        <v>6897294.0539999995</v>
      </c>
      <c r="F74" s="6">
        <f>E74/B74</f>
        <v>93636.9</v>
      </c>
      <c r="G74" s="7">
        <v>7932000</v>
      </c>
      <c r="H74" s="7">
        <f>IF(B74&gt;0,G74/B74,0)</f>
        <v>107683.95329894108</v>
      </c>
    </row>
    <row r="75" spans="1:8" ht="15" customHeight="1" x14ac:dyDescent="0.35">
      <c r="A75" s="3" t="s">
        <v>81</v>
      </c>
      <c r="B75" s="3">
        <v>77.069999999999993</v>
      </c>
      <c r="C75" s="4">
        <v>3224077.9537493698</v>
      </c>
      <c r="D75" s="5">
        <f>C75/B75</f>
        <v>41833.112154526665</v>
      </c>
      <c r="E75" s="4">
        <v>3065513.3918399001</v>
      </c>
      <c r="F75" s="6">
        <f>E75/B75</f>
        <v>39775.702502139618</v>
      </c>
      <c r="G75" s="7">
        <v>6590000</v>
      </c>
      <c r="H75" s="7">
        <f>IF(B75&gt;0,G75/B75,0)</f>
        <v>85506.682236927474</v>
      </c>
    </row>
    <row r="76" spans="1:8" ht="15" customHeight="1" x14ac:dyDescent="0.35">
      <c r="A76" s="3" t="s">
        <v>82</v>
      </c>
      <c r="B76" s="3">
        <v>80.08</v>
      </c>
      <c r="C76" s="4">
        <v>3350875.3954095002</v>
      </c>
      <c r="D76" s="5">
        <f>C76/B76</f>
        <v>41844.098344274476</v>
      </c>
      <c r="E76" s="4">
        <v>3340828.6436487101</v>
      </c>
      <c r="F76" s="6">
        <f>E76/B76</f>
        <v>41718.639406202674</v>
      </c>
      <c r="G76" s="7">
        <v>3842000</v>
      </c>
      <c r="H76" s="7">
        <f>IF(B76&gt;0,G76/B76,0)</f>
        <v>47977.022977022978</v>
      </c>
    </row>
    <row r="77" spans="1:8" ht="15" customHeight="1" x14ac:dyDescent="0.35">
      <c r="A77" s="3" t="s">
        <v>83</v>
      </c>
      <c r="B77" s="3">
        <v>82.73</v>
      </c>
      <c r="C77" s="4">
        <v>3464732.1828994099</v>
      </c>
      <c r="D77" s="5">
        <f>C77/B77</f>
        <v>41879.99737579366</v>
      </c>
      <c r="E77" s="4">
        <v>8084224.7004800001</v>
      </c>
      <c r="F77" s="6">
        <f>E77/B77</f>
        <v>97718.175999999992</v>
      </c>
      <c r="G77" s="7">
        <v>9297000</v>
      </c>
      <c r="H77" s="7">
        <f>IF(B77&gt;0,G77/B77,0)</f>
        <v>112377.61392481565</v>
      </c>
    </row>
    <row r="78" spans="1:8" ht="15" customHeight="1" x14ac:dyDescent="0.35">
      <c r="A78" s="3" t="s">
        <v>84</v>
      </c>
      <c r="B78" s="3">
        <v>84.81</v>
      </c>
      <c r="C78" s="4">
        <v>3552054.5284180199</v>
      </c>
      <c r="D78" s="5">
        <f>C78/B78</f>
        <v>41882.496502983369</v>
      </c>
      <c r="E78" s="4">
        <v>3221920.6002202099</v>
      </c>
      <c r="F78" s="6">
        <f>E78/B78</f>
        <v>37989.866763591672</v>
      </c>
      <c r="G78" s="7">
        <v>6736000</v>
      </c>
      <c r="H78" s="7">
        <f>IF(B78&gt;0,G78/B78,0)</f>
        <v>79424.596156113665</v>
      </c>
    </row>
    <row r="79" spans="1:8" ht="15" customHeight="1" x14ac:dyDescent="0.35">
      <c r="A79" s="3" t="s">
        <v>85</v>
      </c>
      <c r="B79" s="3">
        <v>86.54</v>
      </c>
      <c r="C79" s="4">
        <v>3626317.7482469101</v>
      </c>
      <c r="D79" s="5">
        <f>C79/B79</f>
        <v>41903.37125314201</v>
      </c>
      <c r="E79" s="4">
        <v>3221920.6002202099</v>
      </c>
      <c r="F79" s="6">
        <f>E79/B79</f>
        <v>37230.42061728923</v>
      </c>
      <c r="G79" s="7">
        <v>6914000</v>
      </c>
      <c r="H79" s="7">
        <f>IF(B79&gt;0,G79/B79,0)</f>
        <v>79893.690778830598</v>
      </c>
    </row>
    <row r="80" spans="1:8" ht="15" customHeight="1" x14ac:dyDescent="0.35">
      <c r="A80" s="3" t="s">
        <v>86</v>
      </c>
      <c r="B80" s="3">
        <v>117.17</v>
      </c>
      <c r="C80" s="4">
        <v>4462438.5994627001</v>
      </c>
      <c r="D80" s="5">
        <f>C80/B80</f>
        <v>38085.16343315439</v>
      </c>
      <c r="E80" s="4">
        <v>2929250</v>
      </c>
      <c r="F80" s="6">
        <f>E80/B80</f>
        <v>25000</v>
      </c>
      <c r="G80" s="7">
        <v>3369000</v>
      </c>
      <c r="H80" s="7">
        <f>IF(B80&gt;0,G80/B80,0)</f>
        <v>28753.093795340104</v>
      </c>
    </row>
    <row r="81" spans="1:8" ht="15" customHeight="1" x14ac:dyDescent="0.35">
      <c r="A81" s="3" t="s">
        <v>87</v>
      </c>
      <c r="B81" s="3">
        <v>17</v>
      </c>
      <c r="C81" s="4">
        <v>647447.77836362401</v>
      </c>
      <c r="D81" s="5">
        <f>C81/B81</f>
        <v>38085.163433154354</v>
      </c>
      <c r="E81" s="4">
        <v>3320361.9792941799</v>
      </c>
      <c r="F81" s="6">
        <f>E81/B81</f>
        <v>195315.41054671648</v>
      </c>
      <c r="G81" s="7">
        <v>3819000</v>
      </c>
      <c r="H81" s="7">
        <f>IF(B81&gt;0,G81/B81,0)</f>
        <v>224647.0588235294</v>
      </c>
    </row>
    <row r="82" spans="1:8" ht="15" customHeight="1" x14ac:dyDescent="0.35">
      <c r="A82" s="3" t="s">
        <v>88</v>
      </c>
      <c r="B82" s="3">
        <v>93.43</v>
      </c>
      <c r="C82" s="4">
        <v>3914490.2147483798</v>
      </c>
      <c r="D82" s="5">
        <f>C82/B82</f>
        <v>41897.5726720366</v>
      </c>
      <c r="E82" s="4">
        <v>7832165.0328308595</v>
      </c>
      <c r="F82" s="6">
        <f>E82/B82</f>
        <v>83829.230791296795</v>
      </c>
      <c r="G82" s="7">
        <v>9007000</v>
      </c>
      <c r="H82" s="7">
        <f>IF(B82&gt;0,G82/B82,0)</f>
        <v>96403.724713689386</v>
      </c>
    </row>
    <row r="83" spans="1:8" ht="15" customHeight="1" x14ac:dyDescent="0.35">
      <c r="A83" s="3" t="s">
        <v>89</v>
      </c>
      <c r="B83" s="3">
        <v>90.56</v>
      </c>
      <c r="C83" s="4">
        <v>3792338.6155252699</v>
      </c>
      <c r="D83" s="5">
        <f>C83/B83</f>
        <v>41876.530648468084</v>
      </c>
      <c r="E83" s="4">
        <v>7591576.2040701499</v>
      </c>
      <c r="F83" s="6">
        <f>E83/B83</f>
        <v>83829.242536110309</v>
      </c>
      <c r="G83" s="7">
        <v>8731000</v>
      </c>
      <c r="H83" s="7">
        <f>IF(B83&gt;0,G83/B83,0)</f>
        <v>96411.21908127208</v>
      </c>
    </row>
    <row r="84" spans="1:8" ht="15" customHeight="1" x14ac:dyDescent="0.35">
      <c r="A84" s="3" t="s">
        <v>90</v>
      </c>
      <c r="B84" s="3">
        <v>86.48</v>
      </c>
      <c r="C84" s="4">
        <v>3621653.8000672902</v>
      </c>
      <c r="D84" s="5">
        <f>C84/B84</f>
        <v>41878.512951749421</v>
      </c>
      <c r="E84" s="4">
        <v>8702130</v>
      </c>
      <c r="F84" s="6">
        <f>E84/B84</f>
        <v>100625.9250693802</v>
      </c>
      <c r="G84" s="7">
        <v>10008000</v>
      </c>
      <c r="H84" s="7">
        <f>IF(B84&gt;0,G84/B84,0)</f>
        <v>115726.17946345976</v>
      </c>
    </row>
    <row r="85" spans="1:8" ht="15" customHeight="1" x14ac:dyDescent="0.35">
      <c r="A85" s="3" t="s">
        <v>91</v>
      </c>
      <c r="B85" s="3">
        <v>84.15</v>
      </c>
      <c r="C85" s="4">
        <v>3529937.2826349698</v>
      </c>
      <c r="D85" s="5">
        <f>C85/B85</f>
        <v>41948.155468032914</v>
      </c>
      <c r="E85" s="4">
        <v>8702130</v>
      </c>
      <c r="F85" s="6">
        <f>E85/B85</f>
        <v>103412.1212121212</v>
      </c>
      <c r="G85" s="7">
        <v>10008000</v>
      </c>
      <c r="H85" s="7">
        <f>IF(B85&gt;0,G85/B85,0)</f>
        <v>118930.48128342246</v>
      </c>
    </row>
    <row r="86" spans="1:8" ht="15" customHeight="1" x14ac:dyDescent="0.35">
      <c r="A86" s="3" t="s">
        <v>92</v>
      </c>
      <c r="B86" s="3">
        <v>29.8</v>
      </c>
      <c r="C86" s="4">
        <v>1227515.6626411399</v>
      </c>
      <c r="D86" s="5">
        <f>C86/B86</f>
        <v>41191.800759769794</v>
      </c>
      <c r="E86" s="4">
        <v>3816550.02333974</v>
      </c>
      <c r="F86" s="6">
        <f>E86/B86</f>
        <v>128072.14843421946</v>
      </c>
      <c r="G86" s="7">
        <v>4390000</v>
      </c>
      <c r="H86" s="7">
        <f>IF(B86&gt;0,G86/B86,0)</f>
        <v>147315.43624161073</v>
      </c>
    </row>
    <row r="87" spans="1:8" ht="15" customHeight="1" x14ac:dyDescent="0.35">
      <c r="A87" s="3" t="s">
        <v>93</v>
      </c>
      <c r="B87" s="3">
        <v>30.25</v>
      </c>
      <c r="C87" s="4">
        <v>1258320.88647473</v>
      </c>
      <c r="D87" s="5">
        <f>C87/B87</f>
        <v>41597.384676850575</v>
      </c>
      <c r="E87" s="4">
        <v>4575038.5896423198</v>
      </c>
      <c r="F87" s="6">
        <f>E87/B87</f>
        <v>151240.9451121428</v>
      </c>
      <c r="G87" s="7">
        <v>5262000</v>
      </c>
      <c r="H87" s="7">
        <f>IF(B87&gt;0,G87/B87,0)</f>
        <v>173950.41322314049</v>
      </c>
    </row>
    <row r="88" spans="1:8" ht="15" customHeight="1" x14ac:dyDescent="0.35">
      <c r="A88" s="3" t="s">
        <v>94</v>
      </c>
      <c r="B88" s="3">
        <v>30.25</v>
      </c>
      <c r="C88" s="4">
        <v>1258320.88647473</v>
      </c>
      <c r="D88" s="5">
        <f>C88/B88</f>
        <v>41597.384676850575</v>
      </c>
      <c r="E88" s="4">
        <v>3073855.1367446999</v>
      </c>
      <c r="F88" s="6">
        <f>E88/B88</f>
        <v>101615.0458428</v>
      </c>
      <c r="G88" s="7">
        <v>3535000</v>
      </c>
      <c r="H88" s="7">
        <f>IF(B88&gt;0,G88/B88,0)</f>
        <v>116859.50413223141</v>
      </c>
    </row>
    <row r="89" spans="1:8" ht="15" customHeight="1" x14ac:dyDescent="0.35">
      <c r="A89" s="3" t="s">
        <v>95</v>
      </c>
      <c r="B89" s="3">
        <v>30.13</v>
      </c>
      <c r="C89" s="4">
        <v>1253967.84457816</v>
      </c>
      <c r="D89" s="5">
        <f>C89/B89</f>
        <v>41618.580968408896</v>
      </c>
      <c r="E89" s="4">
        <v>3013000</v>
      </c>
      <c r="F89" s="6">
        <f>E89/B89</f>
        <v>100000</v>
      </c>
      <c r="G89" s="7">
        <v>3465000</v>
      </c>
      <c r="H89" s="7">
        <f>IF(B89&gt;0,G89/B89,0)</f>
        <v>115001.65947560572</v>
      </c>
    </row>
    <row r="90" spans="1:8" ht="15" customHeight="1" x14ac:dyDescent="0.35">
      <c r="A90" s="3" t="s">
        <v>96</v>
      </c>
      <c r="B90" s="3">
        <v>37.21</v>
      </c>
      <c r="C90" s="4">
        <v>1555492.23730979</v>
      </c>
      <c r="D90" s="5">
        <f>C90/B90</f>
        <v>41803.07007013679</v>
      </c>
      <c r="E90" s="4">
        <v>1994705.88605012</v>
      </c>
      <c r="F90" s="6">
        <f>E90/B90</f>
        <v>53606.71556168019</v>
      </c>
      <c r="G90" s="7">
        <v>2294000</v>
      </c>
      <c r="H90" s="7">
        <f>IF(B90&gt;0,G90/B90,0)</f>
        <v>61650.094060736359</v>
      </c>
    </row>
    <row r="91" spans="1:8" ht="15" customHeight="1" x14ac:dyDescent="0.35">
      <c r="A91" s="3" t="s">
        <v>97</v>
      </c>
      <c r="B91" s="3">
        <v>39.58</v>
      </c>
      <c r="C91" s="4">
        <v>1647208.7547421099</v>
      </c>
      <c r="D91" s="5">
        <f>C91/B91</f>
        <v>41617.199462913341</v>
      </c>
      <c r="E91" s="4">
        <v>2614821.4302117201</v>
      </c>
      <c r="F91" s="6">
        <f>E91/B91</f>
        <v>66064.20995987166</v>
      </c>
      <c r="G91" s="7">
        <v>3008000</v>
      </c>
      <c r="H91" s="7">
        <f>IF(B91&gt;0,G91/B91,0)</f>
        <v>75997.978777160184</v>
      </c>
    </row>
    <row r="92" spans="1:8" ht="15" customHeight="1" x14ac:dyDescent="0.35">
      <c r="A92" s="3" t="s">
        <v>98</v>
      </c>
      <c r="B92" s="3">
        <v>36.81</v>
      </c>
      <c r="C92" s="4">
        <v>1537746.13916592</v>
      </c>
      <c r="D92" s="5">
        <f>C92/B92</f>
        <v>41775.227904534637</v>
      </c>
      <c r="E92" s="4">
        <v>2614821.4302117201</v>
      </c>
      <c r="F92" s="6">
        <f>E92/B92</f>
        <v>71035.627009283344</v>
      </c>
      <c r="G92" s="7">
        <v>3008000</v>
      </c>
      <c r="H92" s="7">
        <f>IF(B92&gt;0,G92/B92,0)</f>
        <v>81716.924748709585</v>
      </c>
    </row>
    <row r="93" spans="1:8" ht="15" customHeight="1" x14ac:dyDescent="0.35">
      <c r="A93" s="3" t="s">
        <v>99</v>
      </c>
      <c r="B93" s="3">
        <v>57</v>
      </c>
      <c r="C93" s="4">
        <v>1306131.9243666099</v>
      </c>
      <c r="D93" s="5">
        <f>C93/B93</f>
        <v>22914.595164326489</v>
      </c>
      <c r="E93" s="4">
        <v>3984134.4</v>
      </c>
      <c r="F93" s="6">
        <f>E93/B93</f>
        <v>69897.094736842104</v>
      </c>
      <c r="G93" s="7">
        <v>4582000</v>
      </c>
      <c r="H93" s="7">
        <f>IF(B93&gt;0,G93/B93,0)</f>
        <v>80385.964912280702</v>
      </c>
    </row>
    <row r="94" spans="1:8" ht="15" customHeight="1" x14ac:dyDescent="0.35">
      <c r="A94" s="3" t="s">
        <v>100</v>
      </c>
      <c r="B94" s="3">
        <v>45.23</v>
      </c>
      <c r="C94" s="4">
        <v>1874410.69188511</v>
      </c>
      <c r="D94" s="5">
        <f>C94/B94</f>
        <v>41441.757503539913</v>
      </c>
      <c r="E94" s="4">
        <v>5318827.7957121897</v>
      </c>
      <c r="F94" s="6">
        <f>E94/B94</f>
        <v>117595.13145505617</v>
      </c>
      <c r="G94" s="7">
        <v>6117000</v>
      </c>
      <c r="H94" s="7">
        <f>IF(B94&gt;0,G94/B94,0)</f>
        <v>135242.09595401282</v>
      </c>
    </row>
    <row r="95" spans="1:8" ht="15" customHeight="1" x14ac:dyDescent="0.35">
      <c r="A95" s="3" t="s">
        <v>101</v>
      </c>
      <c r="B95" s="3">
        <v>41.73</v>
      </c>
      <c r="C95" s="4">
        <v>1756301.22827551</v>
      </c>
      <c r="D95" s="5">
        <f>C95/B95</f>
        <v>42087.256848202975</v>
      </c>
      <c r="E95" s="4">
        <v>3129750</v>
      </c>
      <c r="F95" s="6">
        <f>E95/B95</f>
        <v>75000</v>
      </c>
      <c r="G95" s="7">
        <v>3600000</v>
      </c>
      <c r="H95" s="7">
        <f>IF(B95&gt;0,G95/B95,0)</f>
        <v>86268.871315600292</v>
      </c>
    </row>
    <row r="96" spans="1:8" ht="15" customHeight="1" x14ac:dyDescent="0.35">
      <c r="A96" s="3" t="s">
        <v>102</v>
      </c>
      <c r="B96" s="3">
        <v>34.83</v>
      </c>
      <c r="C96" s="4">
        <v>1446029.6217336</v>
      </c>
      <c r="D96" s="5">
        <f>C96/B96</f>
        <v>41516.785005271318</v>
      </c>
      <c r="E96" s="4">
        <v>2198678.58</v>
      </c>
      <c r="F96" s="6">
        <f>E96/B96</f>
        <v>63126.000000000007</v>
      </c>
      <c r="G96" s="7">
        <v>2529000</v>
      </c>
      <c r="H96" s="7">
        <f>IF(B96&gt;0,G96/B96,0)</f>
        <v>72609.819121447028</v>
      </c>
    </row>
    <row r="97" spans="1:8" ht="15" customHeight="1" x14ac:dyDescent="0.35">
      <c r="A97" s="3" t="s">
        <v>103</v>
      </c>
      <c r="B97" s="3">
        <v>38.03</v>
      </c>
      <c r="C97" s="4">
        <v>1550787.1591130299</v>
      </c>
      <c r="D97" s="5">
        <f>C97/B97</f>
        <v>40777.995243571655</v>
      </c>
      <c r="E97" s="4">
        <v>3033601.4747998202</v>
      </c>
      <c r="F97" s="6">
        <f>E97/B97</f>
        <v>79768.642513800165</v>
      </c>
      <c r="G97" s="7">
        <v>3489000</v>
      </c>
      <c r="H97" s="7">
        <f>IF(B97&gt;0,G97/B97,0)</f>
        <v>91743.360504864584</v>
      </c>
    </row>
    <row r="98" spans="1:8" ht="15" customHeight="1" x14ac:dyDescent="0.35">
      <c r="A98" s="3" t="s">
        <v>104</v>
      </c>
      <c r="B98" s="3">
        <v>75.239999999999995</v>
      </c>
      <c r="C98" s="4">
        <v>3119320.4163699299</v>
      </c>
      <c r="D98" s="5">
        <f>C98/B98</f>
        <v>41458.272413210128</v>
      </c>
      <c r="E98" s="4">
        <v>5000000</v>
      </c>
      <c r="F98" s="6">
        <f>E98/B98</f>
        <v>66454.013822434878</v>
      </c>
      <c r="G98" s="7">
        <v>5750000</v>
      </c>
      <c r="H98" s="7">
        <f>IF(B98&gt;0,G98/B98,0)</f>
        <v>76422.115895800118</v>
      </c>
    </row>
    <row r="99" spans="1:8" ht="15" customHeight="1" x14ac:dyDescent="0.35">
      <c r="A99" s="3" t="s">
        <v>105</v>
      </c>
      <c r="B99" s="3">
        <v>87.55</v>
      </c>
      <c r="C99" s="4">
        <v>3639358.76819403</v>
      </c>
      <c r="D99" s="5">
        <f>C99/B99</f>
        <v>41568.91796909229</v>
      </c>
      <c r="E99" s="4">
        <v>4818550</v>
      </c>
      <c r="F99" s="6">
        <f>E99/B99</f>
        <v>55037.692747001718</v>
      </c>
      <c r="G99" s="7">
        <v>5542000</v>
      </c>
      <c r="H99" s="7">
        <f>IF(B99&gt;0,G99/B99,0)</f>
        <v>63300.970873786413</v>
      </c>
    </row>
    <row r="100" spans="1:8" ht="15" customHeight="1" x14ac:dyDescent="0.35">
      <c r="A100" s="3" t="s">
        <v>106</v>
      </c>
      <c r="B100" s="3">
        <v>152.84</v>
      </c>
      <c r="C100" s="4">
        <v>6339415.4702655198</v>
      </c>
      <c r="D100" s="5">
        <f>C100/B100</f>
        <v>41477.463165830406</v>
      </c>
      <c r="E100" s="4">
        <v>6877800</v>
      </c>
      <c r="F100" s="6">
        <f>E100/B100</f>
        <v>45000</v>
      </c>
      <c r="G100" s="7">
        <v>7910000</v>
      </c>
      <c r="H100" s="7">
        <f>IF(B100&gt;0,G100/B100,0)</f>
        <v>51753.467678618159</v>
      </c>
    </row>
    <row r="101" spans="1:8" ht="15" customHeight="1" x14ac:dyDescent="0.35">
      <c r="A101" s="3" t="s">
        <v>107</v>
      </c>
      <c r="B101" s="3">
        <v>9</v>
      </c>
      <c r="C101" s="4">
        <v>609497.19645130495</v>
      </c>
      <c r="D101" s="5">
        <f>C101/B101</f>
        <v>67721.910716811661</v>
      </c>
      <c r="E101" s="4">
        <v>6952489.0932795098</v>
      </c>
      <c r="F101" s="6">
        <f>E101/B101</f>
        <v>772498.78814216773</v>
      </c>
      <c r="G101" s="7">
        <v>7996000</v>
      </c>
      <c r="H101" s="7">
        <f>IF(B101&gt;0,G101/B101,0)</f>
        <v>888444.4444444445</v>
      </c>
    </row>
    <row r="102" spans="1:8" ht="15" customHeight="1" x14ac:dyDescent="0.35">
      <c r="A102" s="3" t="s">
        <v>108</v>
      </c>
      <c r="B102" s="3">
        <v>9</v>
      </c>
      <c r="C102" s="4">
        <v>609497.19645130495</v>
      </c>
      <c r="D102" s="5">
        <f>C102/B102</f>
        <v>67721.910716811661</v>
      </c>
      <c r="E102" s="4">
        <v>3500000</v>
      </c>
      <c r="F102" s="6">
        <f>E102/B102</f>
        <v>388888.88888888888</v>
      </c>
      <c r="G102" s="7">
        <v>4025000</v>
      </c>
      <c r="H102" s="7">
        <f>IF(B102&gt;0,G102/B102,0)</f>
        <v>447222.22222222225</v>
      </c>
    </row>
    <row r="103" spans="1:8" ht="15" customHeight="1" x14ac:dyDescent="0.35">
      <c r="A103" s="3" t="s">
        <v>109</v>
      </c>
      <c r="B103" s="3">
        <v>9</v>
      </c>
      <c r="C103" s="4">
        <v>609497.19645130495</v>
      </c>
      <c r="D103" s="5">
        <f>C103/B103</f>
        <v>67721.910716811661</v>
      </c>
      <c r="E103" s="4">
        <v>5313911.3279888099</v>
      </c>
      <c r="F103" s="6">
        <f>E103/B103</f>
        <v>590434.59199875663</v>
      </c>
      <c r="G103" s="7">
        <v>6111000</v>
      </c>
      <c r="H103" s="7">
        <f>IF(B103&gt;0,G103/B103,0)</f>
        <v>679000</v>
      </c>
    </row>
    <row r="104" spans="1:8" ht="15" customHeight="1" x14ac:dyDescent="0.35">
      <c r="A104" s="3" t="s">
        <v>110</v>
      </c>
      <c r="B104" s="3">
        <v>12.02</v>
      </c>
      <c r="C104" s="4">
        <v>812727.07352292805</v>
      </c>
      <c r="D104" s="5">
        <f>C104/B104</f>
        <v>67614.565184935782</v>
      </c>
      <c r="E104" s="4">
        <v>3682000</v>
      </c>
      <c r="F104" s="6">
        <f>E104/B104</f>
        <v>306322.79534109816</v>
      </c>
      <c r="G104" s="7">
        <v>4235000</v>
      </c>
      <c r="H104" s="7">
        <f>IF(B104&gt;0,G104/B104,0)</f>
        <v>352329.45091514144</v>
      </c>
    </row>
    <row r="105" spans="1:8" ht="15" customHeight="1" x14ac:dyDescent="0.35">
      <c r="A105" s="3" t="s">
        <v>111</v>
      </c>
      <c r="B105" s="3">
        <v>9</v>
      </c>
      <c r="C105" s="4">
        <v>609497.19645130495</v>
      </c>
      <c r="D105" s="5">
        <f>C105/B105</f>
        <v>67721.910716811661</v>
      </c>
      <c r="E105" s="4">
        <v>4162945.0215035598</v>
      </c>
      <c r="F105" s="6">
        <f>E105/B105</f>
        <v>462549.44683372887</v>
      </c>
      <c r="G105" s="7">
        <v>4788000</v>
      </c>
      <c r="H105" s="7">
        <f>IF(B105&gt;0,G105/B105,0)</f>
        <v>532000</v>
      </c>
    </row>
    <row r="106" spans="1:8" ht="15" customHeight="1" x14ac:dyDescent="0.35">
      <c r="A106" s="3" t="s">
        <v>112</v>
      </c>
      <c r="B106" s="3">
        <v>9</v>
      </c>
      <c r="C106" s="4">
        <v>609497.19645130495</v>
      </c>
      <c r="D106" s="5">
        <f>C106/B106</f>
        <v>67721.910716811661</v>
      </c>
      <c r="E106" s="4">
        <v>3682350</v>
      </c>
      <c r="F106" s="6">
        <f>E106/B106</f>
        <v>409150</v>
      </c>
      <c r="G106" s="7">
        <v>4235000</v>
      </c>
      <c r="H106" s="7">
        <f>IF(B106&gt;0,G106/B106,0)</f>
        <v>470555.55555555556</v>
      </c>
    </row>
    <row r="107" spans="1:8" ht="15" customHeight="1" x14ac:dyDescent="0.35">
      <c r="A107" s="3" t="s">
        <v>113</v>
      </c>
      <c r="B107" s="3">
        <v>9</v>
      </c>
      <c r="C107" s="4">
        <v>609497.19645130495</v>
      </c>
      <c r="D107" s="5">
        <f>C107/B107</f>
        <v>67721.910716811661</v>
      </c>
      <c r="E107" s="4">
        <v>3150000</v>
      </c>
      <c r="F107" s="6">
        <f>E107/B107</f>
        <v>350000</v>
      </c>
      <c r="G107" s="7">
        <v>3623000</v>
      </c>
      <c r="H107" s="7">
        <f>IF(B107&gt;0,G107/B107,0)</f>
        <v>402555.55555555556</v>
      </c>
    </row>
    <row r="108" spans="1:8" ht="15" customHeight="1" x14ac:dyDescent="0.35">
      <c r="A108" s="3" t="s">
        <v>114</v>
      </c>
      <c r="B108" s="3">
        <v>9</v>
      </c>
      <c r="C108" s="4">
        <v>609497.19645130495</v>
      </c>
      <c r="D108" s="5">
        <f>C108/B108</f>
        <v>67721.910716811661</v>
      </c>
      <c r="E108" s="4">
        <v>3497978.43169059</v>
      </c>
      <c r="F108" s="6">
        <f>E108/B108</f>
        <v>388664.27018784336</v>
      </c>
      <c r="G108" s="7">
        <v>4023000</v>
      </c>
      <c r="H108" s="7">
        <f>IF(B108&gt;0,G108/B108,0)</f>
        <v>447000</v>
      </c>
    </row>
    <row r="109" spans="1:8" ht="15" customHeight="1" x14ac:dyDescent="0.35">
      <c r="A109" s="3" t="s">
        <v>115</v>
      </c>
      <c r="B109" s="3">
        <v>9</v>
      </c>
      <c r="C109" s="4">
        <v>609497.19645130495</v>
      </c>
      <c r="D109" s="5">
        <f>C109/B109</f>
        <v>67721.910716811661</v>
      </c>
      <c r="E109" s="4">
        <v>3366632.7133676498</v>
      </c>
      <c r="F109" s="6">
        <f>E109/B109</f>
        <v>374070.30148529442</v>
      </c>
      <c r="G109" s="7">
        <v>3872000</v>
      </c>
      <c r="H109" s="7">
        <f>IF(B109&gt;0,G109/B109,0)</f>
        <v>430222.22222222225</v>
      </c>
    </row>
    <row r="110" spans="1:8" ht="15" customHeight="1" x14ac:dyDescent="0.35">
      <c r="A110" s="3" t="s">
        <v>116</v>
      </c>
      <c r="B110" s="3">
        <v>9</v>
      </c>
      <c r="C110" s="4">
        <v>609497.19645130495</v>
      </c>
      <c r="D110" s="5">
        <f>C110/B110</f>
        <v>67721.910716811661</v>
      </c>
      <c r="E110" s="4">
        <v>3366632.7133676498</v>
      </c>
      <c r="F110" s="6">
        <f>E110/B110</f>
        <v>374070.30148529442</v>
      </c>
      <c r="G110" s="7">
        <v>3872000</v>
      </c>
      <c r="H110" s="7">
        <f>IF(B110&gt;0,G110/B110,0)</f>
        <v>430222.22222222225</v>
      </c>
    </row>
    <row r="111" spans="1:8" ht="15" customHeight="1" x14ac:dyDescent="0.35">
      <c r="A111" s="3" t="s">
        <v>117</v>
      </c>
      <c r="B111" s="3">
        <v>9</v>
      </c>
      <c r="C111" s="4">
        <v>609497.19645130495</v>
      </c>
      <c r="D111" s="5">
        <f>C111/B111</f>
        <v>67721.910716811661</v>
      </c>
      <c r="E111" s="4">
        <v>3682000</v>
      </c>
      <c r="F111" s="6">
        <f>E111/B111</f>
        <v>409111.11111111112</v>
      </c>
      <c r="G111" s="7">
        <v>4235000</v>
      </c>
      <c r="H111" s="7">
        <f>IF(B111&gt;0,G111/B111,0)</f>
        <v>470555.55555555556</v>
      </c>
    </row>
    <row r="112" spans="1:8" ht="15" customHeight="1" x14ac:dyDescent="0.35">
      <c r="A112" s="3" t="s">
        <v>118</v>
      </c>
      <c r="B112" s="3">
        <v>9</v>
      </c>
      <c r="C112" s="4">
        <v>609497.19645130495</v>
      </c>
      <c r="D112" s="5">
        <f>C112/B112</f>
        <v>67721.910716811661</v>
      </c>
      <c r="E112" s="4">
        <v>3609214.7634697501</v>
      </c>
      <c r="F112" s="6">
        <f>E112/B112</f>
        <v>401023.86260774999</v>
      </c>
      <c r="G112" s="7">
        <v>4151000</v>
      </c>
      <c r="H112" s="7">
        <f>IF(B112&gt;0,G112/B112,0)</f>
        <v>461222.22222222225</v>
      </c>
    </row>
    <row r="113" spans="1:8" ht="15" customHeight="1" x14ac:dyDescent="0.35">
      <c r="A113" s="3" t="s">
        <v>119</v>
      </c>
      <c r="B113" s="3">
        <v>9</v>
      </c>
      <c r="C113" s="4">
        <v>609497.19645130495</v>
      </c>
      <c r="D113" s="5">
        <f>C113/B113</f>
        <v>67721.910716811661</v>
      </c>
      <c r="E113" s="4">
        <v>3500000</v>
      </c>
      <c r="F113" s="6">
        <f>E113/B113</f>
        <v>388888.88888888888</v>
      </c>
      <c r="G113" s="7">
        <v>4025000</v>
      </c>
      <c r="H113" s="7">
        <f>IF(B113&gt;0,G113/B113,0)</f>
        <v>447222.22222222225</v>
      </c>
    </row>
    <row r="114" spans="1:8" ht="15" customHeight="1" x14ac:dyDescent="0.35">
      <c r="A114" s="3" t="s">
        <v>120</v>
      </c>
      <c r="B114" s="3">
        <v>12.02</v>
      </c>
      <c r="C114" s="4">
        <v>812727.07352292805</v>
      </c>
      <c r="D114" s="5">
        <f>C114/B114</f>
        <v>67614.565184935782</v>
      </c>
      <c r="E114" s="4">
        <v>3682350</v>
      </c>
      <c r="F114" s="6">
        <f>E114/B114</f>
        <v>306351.91347753746</v>
      </c>
      <c r="G114" s="7">
        <v>4235000</v>
      </c>
      <c r="H114" s="7">
        <f>IF(B114&gt;0,G114/B114,0)</f>
        <v>352329.45091514144</v>
      </c>
    </row>
    <row r="115" spans="1:8" ht="15" customHeight="1" x14ac:dyDescent="0.35">
      <c r="A115" s="3" t="s">
        <v>121</v>
      </c>
      <c r="B115" s="3">
        <v>9</v>
      </c>
      <c r="C115" s="4">
        <v>609497.19645130495</v>
      </c>
      <c r="D115" s="5">
        <f>C115/B115</f>
        <v>67721.910716811661</v>
      </c>
      <c r="E115" s="4">
        <v>1617201.9654045899</v>
      </c>
      <c r="F115" s="6">
        <f>E115/B115</f>
        <v>179689.10726717665</v>
      </c>
      <c r="G115" s="7">
        <v>1860000</v>
      </c>
      <c r="H115" s="7">
        <f>IF(B115&gt;0,G115/B115,0)</f>
        <v>206666.66666666666</v>
      </c>
    </row>
    <row r="116" spans="1:8" ht="15" customHeight="1" x14ac:dyDescent="0.35">
      <c r="A116" s="3" t="s">
        <v>122</v>
      </c>
      <c r="B116" s="3">
        <v>7.4</v>
      </c>
      <c r="C116" s="4">
        <v>73971.779378468898</v>
      </c>
      <c r="D116" s="5">
        <f>C116/B116</f>
        <v>9996.1864024957958</v>
      </c>
      <c r="E116" s="4">
        <v>227477.684642751</v>
      </c>
      <c r="F116" s="6">
        <f>E116/B116</f>
        <v>30740.227654425809</v>
      </c>
      <c r="G116" s="7">
        <v>262000</v>
      </c>
      <c r="H116" s="7">
        <f>IF(B116&gt;0,G116/B116,0)</f>
        <v>35405.405405405407</v>
      </c>
    </row>
    <row r="117" spans="1:8" ht="15" customHeight="1" x14ac:dyDescent="0.35">
      <c r="A117" s="3" t="s">
        <v>123</v>
      </c>
      <c r="B117" s="3">
        <v>6.99</v>
      </c>
      <c r="C117" s="4">
        <v>73971.779378468898</v>
      </c>
      <c r="D117" s="5">
        <f>C117/B117</f>
        <v>10582.514932542044</v>
      </c>
      <c r="E117" s="4">
        <v>466767.64208105498</v>
      </c>
      <c r="F117" s="6">
        <f>E117/B117</f>
        <v>66776.486706874814</v>
      </c>
      <c r="G117" s="7">
        <v>537000</v>
      </c>
      <c r="H117" s="7">
        <f>IF(B117&gt;0,G117/B117,0)</f>
        <v>76824.034334763943</v>
      </c>
    </row>
    <row r="118" spans="1:8" ht="15" customHeight="1" x14ac:dyDescent="0.35">
      <c r="A118" s="3" t="s">
        <v>124</v>
      </c>
      <c r="B118" s="3">
        <v>6.99</v>
      </c>
      <c r="C118" s="4">
        <v>71706.418846290806</v>
      </c>
      <c r="D118" s="5">
        <f>C118/B118</f>
        <v>10258.429019497969</v>
      </c>
      <c r="E118" s="4">
        <v>202527.89016993801</v>
      </c>
      <c r="F118" s="6">
        <f>E118/B118</f>
        <v>28973.947091550501</v>
      </c>
      <c r="G118" s="7">
        <v>233000</v>
      </c>
      <c r="H118" s="7">
        <f>IF(B118&gt;0,G118/B118,0)</f>
        <v>33333.333333333336</v>
      </c>
    </row>
    <row r="119" spans="1:8" ht="15" customHeight="1" x14ac:dyDescent="0.35">
      <c r="A119" s="3" t="s">
        <v>125</v>
      </c>
      <c r="B119" s="3">
        <v>7.05</v>
      </c>
      <c r="C119" s="4">
        <v>73053.788013648998</v>
      </c>
      <c r="D119" s="5">
        <f>C119/B119</f>
        <v>10362.239434560142</v>
      </c>
      <c r="E119" s="4">
        <v>0</v>
      </c>
      <c r="F119" s="6">
        <f>E119/B119</f>
        <v>0</v>
      </c>
      <c r="G119" s="7">
        <v>447000</v>
      </c>
      <c r="H119" s="7">
        <f>IF(B119&gt;0,G119/B119,0)</f>
        <v>63404.255319148935</v>
      </c>
    </row>
    <row r="120" spans="1:8" ht="15" customHeight="1" x14ac:dyDescent="0.35">
      <c r="A120" s="3" t="s">
        <v>126</v>
      </c>
      <c r="B120" s="3">
        <v>6.63</v>
      </c>
      <c r="C120" s="4">
        <v>69500.294073856305</v>
      </c>
      <c r="D120" s="5">
        <f>C120/B120</f>
        <v>10482.698955332777</v>
      </c>
      <c r="E120" s="4">
        <v>650296.65507488896</v>
      </c>
      <c r="F120" s="6">
        <f>E120/B120</f>
        <v>98083.960041461381</v>
      </c>
      <c r="G120" s="7">
        <v>748000</v>
      </c>
      <c r="H120" s="7">
        <f>IF(B120&gt;0,G120/B120,0)</f>
        <v>112820.51282051283</v>
      </c>
    </row>
    <row r="121" spans="1:8" ht="15" customHeight="1" x14ac:dyDescent="0.35">
      <c r="A121" s="3" t="s">
        <v>127</v>
      </c>
      <c r="B121" s="3">
        <v>6.74</v>
      </c>
      <c r="C121" s="4">
        <v>70418.285438676205</v>
      </c>
      <c r="D121" s="5">
        <f>C121/B121</f>
        <v>10447.816830664126</v>
      </c>
      <c r="E121" s="4">
        <v>251736.47415052599</v>
      </c>
      <c r="F121" s="6">
        <f>E121/B121</f>
        <v>37349.625244885159</v>
      </c>
      <c r="G121" s="7">
        <v>290000</v>
      </c>
      <c r="H121" s="7">
        <f>IF(B121&gt;0,G121/B121,0)</f>
        <v>43026.706231454002</v>
      </c>
    </row>
    <row r="122" spans="1:8" ht="15" customHeight="1" x14ac:dyDescent="0.35">
      <c r="A122" s="3" t="s">
        <v>128</v>
      </c>
      <c r="B122" s="3">
        <v>7.84</v>
      </c>
      <c r="C122" s="4">
        <v>83595.798313540203</v>
      </c>
      <c r="D122" s="5">
        <f>C122/B122</f>
        <v>10662.729376727068</v>
      </c>
      <c r="E122" s="4">
        <v>540000</v>
      </c>
      <c r="F122" s="6">
        <f>E122/B122</f>
        <v>68877.551020408166</v>
      </c>
      <c r="G122" s="7">
        <v>621000</v>
      </c>
      <c r="H122" s="7">
        <f>IF(B122&gt;0,G122/B122,0)</f>
        <v>79209.183673469393</v>
      </c>
    </row>
    <row r="123" spans="1:8" ht="15" customHeight="1" x14ac:dyDescent="0.35">
      <c r="A123" s="3" t="s">
        <v>129</v>
      </c>
      <c r="B123" s="3">
        <v>7.97</v>
      </c>
      <c r="C123" s="4">
        <v>81389.6735411056</v>
      </c>
      <c r="D123" s="5">
        <f>C123/B123</f>
        <v>10212.004208419774</v>
      </c>
      <c r="E123" s="4">
        <v>0</v>
      </c>
      <c r="F123" s="6">
        <f>E123/B123</f>
        <v>0</v>
      </c>
      <c r="G123" s="7">
        <v>2808000</v>
      </c>
      <c r="H123" s="7">
        <f>IF(B123&gt;0,G123/B123,0)</f>
        <v>352321.20451693854</v>
      </c>
    </row>
    <row r="124" spans="1:8" ht="15" customHeight="1" x14ac:dyDescent="0.35">
      <c r="A124" s="3" t="s">
        <v>130</v>
      </c>
      <c r="B124" s="3">
        <v>5.29</v>
      </c>
      <c r="C124" s="4">
        <v>52769.287259199496</v>
      </c>
      <c r="D124" s="5">
        <f>C124/B124</f>
        <v>9975.2905972021726</v>
      </c>
      <c r="E124" s="4">
        <v>0</v>
      </c>
      <c r="F124" s="6">
        <f>E124/B124</f>
        <v>0</v>
      </c>
      <c r="G124" s="7">
        <v>412000</v>
      </c>
      <c r="H124" s="7">
        <f>IF(B124&gt;0,G124/B124,0)</f>
        <v>77882.797731568993</v>
      </c>
    </row>
    <row r="125" spans="1:8" ht="15" customHeight="1" x14ac:dyDescent="0.35">
      <c r="A125" s="3" t="s">
        <v>131</v>
      </c>
      <c r="B125" s="3">
        <v>9</v>
      </c>
      <c r="C125" s="4">
        <v>609497.19645130495</v>
      </c>
      <c r="D125" s="5">
        <f>C125/B125</f>
        <v>67721.910716811661</v>
      </c>
      <c r="E125" s="4">
        <v>0</v>
      </c>
      <c r="F125" s="6">
        <f>E125/B125</f>
        <v>0</v>
      </c>
      <c r="G125" s="7">
        <v>3857000</v>
      </c>
      <c r="H125" s="7">
        <f>IF(B125&gt;0,G125/B125,0)</f>
        <v>428555.55555555556</v>
      </c>
    </row>
    <row r="126" spans="1:8" ht="15" customHeight="1" x14ac:dyDescent="0.35">
      <c r="A126" s="3" t="s">
        <v>132</v>
      </c>
      <c r="B126" s="3">
        <v>9</v>
      </c>
      <c r="C126" s="4">
        <v>609497.19645130495</v>
      </c>
      <c r="D126" s="5">
        <f>C126/B126</f>
        <v>67721.910716811661</v>
      </c>
      <c r="E126" s="4">
        <v>0</v>
      </c>
      <c r="F126" s="6">
        <f>E126/B126</f>
        <v>0</v>
      </c>
      <c r="G126" s="7">
        <v>3857000</v>
      </c>
      <c r="H126" s="7">
        <f>IF(B126&gt;0,G126/B126,0)</f>
        <v>428555.55555555556</v>
      </c>
    </row>
    <row r="127" spans="1:8" ht="15" customHeight="1" x14ac:dyDescent="0.35">
      <c r="A127" s="3" t="s">
        <v>133</v>
      </c>
      <c r="B127" s="3">
        <v>598.11</v>
      </c>
      <c r="C127" s="4">
        <v>4199102.8188484097</v>
      </c>
      <c r="D127" s="5">
        <f>C127/B127</f>
        <v>7020.6196499781136</v>
      </c>
      <c r="E127" s="4">
        <v>22617774.467257202</v>
      </c>
      <c r="F127" s="6">
        <f>E127/B127</f>
        <v>37815.409318114063</v>
      </c>
      <c r="G127" s="7">
        <v>26011000</v>
      </c>
      <c r="H127" s="7">
        <f>IF(B127&gt;0,G127/B127,0)</f>
        <v>43488.655932855159</v>
      </c>
    </row>
    <row r="128" spans="1:8" ht="15" customHeight="1" x14ac:dyDescent="0.35">
      <c r="A128" s="3" t="s">
        <v>134</v>
      </c>
      <c r="B128" s="3">
        <v>1567.83</v>
      </c>
      <c r="C128" s="4">
        <v>12364594.9395591</v>
      </c>
      <c r="D128" s="5">
        <f>C128/B128</f>
        <v>7886.4385421627985</v>
      </c>
      <c r="E128" s="4">
        <v>47792722.988380603</v>
      </c>
      <c r="F128" s="6">
        <f>E128/B128</f>
        <v>30483.357882155979</v>
      </c>
      <c r="G128" s="7">
        <v>54962000</v>
      </c>
      <c r="H128" s="7">
        <f>IF(B128&gt;0,G128/B128,0)</f>
        <v>35056.09664313095</v>
      </c>
    </row>
    <row r="129" spans="1:8" ht="15" customHeight="1" x14ac:dyDescent="0.35">
      <c r="A129" s="3" t="s">
        <v>135</v>
      </c>
      <c r="B129" s="3">
        <v>601.89</v>
      </c>
      <c r="C129" s="4">
        <v>6351666.9046540502</v>
      </c>
      <c r="D129" s="5">
        <f>C129/B129</f>
        <v>10552.869967359567</v>
      </c>
      <c r="E129" s="4">
        <v>20586170.381451599</v>
      </c>
      <c r="F129" s="6">
        <f>E129/B129</f>
        <v>34202.545949345564</v>
      </c>
      <c r="G129" s="7">
        <v>23675000</v>
      </c>
      <c r="H129" s="7">
        <f>IF(B129&gt;0,G129/B129,0)</f>
        <v>39334.429879213814</v>
      </c>
    </row>
    <row r="130" spans="1:8" ht="15" customHeight="1" x14ac:dyDescent="0.35">
      <c r="A130" s="3" t="s">
        <v>136</v>
      </c>
      <c r="B130" s="3">
        <v>225.3</v>
      </c>
      <c r="C130" s="4">
        <v>5345901.5253458396</v>
      </c>
      <c r="D130" s="5">
        <f>C130/B130</f>
        <v>23727.925101401863</v>
      </c>
      <c r="E130" s="4">
        <v>0</v>
      </c>
      <c r="F130" s="6">
        <f>E130/B130</f>
        <v>0</v>
      </c>
      <c r="G130" s="7">
        <v>9873000</v>
      </c>
      <c r="H130" s="7">
        <f>IF(B130&gt;0,G130/B130,0)</f>
        <v>43821.571238348864</v>
      </c>
    </row>
    <row r="131" spans="1:8" ht="15" customHeight="1" x14ac:dyDescent="0.35">
      <c r="A131" s="3" t="s">
        <v>137</v>
      </c>
      <c r="B131" s="3">
        <v>44</v>
      </c>
      <c r="C131" s="4">
        <v>348586891.34617603</v>
      </c>
      <c r="D131" s="5">
        <f>C131/B131</f>
        <v>7922429.3487767279</v>
      </c>
      <c r="E131" s="4">
        <v>4717220.8103999998</v>
      </c>
      <c r="F131" s="6">
        <f>E131/B131</f>
        <v>107209.56387272727</v>
      </c>
      <c r="G131" s="7">
        <v>5425000</v>
      </c>
      <c r="H131" s="7">
        <f>IF(B131&gt;0,G131/B131,0)</f>
        <v>123295.45454545454</v>
      </c>
    </row>
    <row r="132" spans="1:8" ht="15" customHeight="1" x14ac:dyDescent="0.35">
      <c r="A132" s="8"/>
      <c r="B132">
        <f>SUBTOTAL(9,B98:B131)</f>
        <v>3574.7</v>
      </c>
      <c r="C132">
        <f>SUBTOTAL(9,C98:C131)</f>
        <v>401364541.38747162</v>
      </c>
      <c r="H132">
        <f>SUBTOTAL(9,H98:H100)</f>
        <v>191476.5544482047</v>
      </c>
    </row>
    <row r="133" spans="1:8" ht="15" customHeight="1" x14ac:dyDescent="0.35">
      <c r="A133" s="8"/>
      <c r="H133" s="9">
        <f>H132/3</f>
        <v>63825.518149401563</v>
      </c>
    </row>
    <row r="134" spans="1:8" ht="15" customHeight="1" x14ac:dyDescent="0.35">
      <c r="A134" s="8"/>
    </row>
    <row r="135" spans="1:8" ht="15" customHeight="1" x14ac:dyDescent="0.35">
      <c r="A135" s="8"/>
    </row>
    <row r="136" spans="1:8" ht="15" customHeight="1" x14ac:dyDescent="0.35">
      <c r="A136" s="10"/>
    </row>
    <row r="137" spans="1:8" ht="15" customHeight="1" x14ac:dyDescent="0.35">
      <c r="A137" s="8"/>
    </row>
    <row r="138" spans="1:8" ht="15" customHeight="1" x14ac:dyDescent="0.35">
      <c r="A138" s="8"/>
      <c r="B138" s="11"/>
      <c r="C138" s="11"/>
      <c r="D138" s="11"/>
      <c r="E138" s="11"/>
    </row>
    <row r="139" spans="1:8" ht="15" customHeight="1" x14ac:dyDescent="0.35">
      <c r="A139" s="8"/>
      <c r="B139" s="11"/>
      <c r="C139" s="12"/>
      <c r="D139" s="13"/>
      <c r="E139" s="13"/>
    </row>
    <row r="140" spans="1:8" ht="15" customHeight="1" x14ac:dyDescent="0.35">
      <c r="A140" s="8"/>
    </row>
    <row r="141" spans="1:8" ht="15" customHeight="1" x14ac:dyDescent="0.35">
      <c r="A141" s="8"/>
    </row>
    <row r="142" spans="1:8" ht="15" customHeight="1" x14ac:dyDescent="0.35">
      <c r="A142" s="8"/>
    </row>
    <row r="143" spans="1:8" ht="15" customHeight="1" x14ac:dyDescent="0.35">
      <c r="A143" s="8"/>
    </row>
    <row r="144" spans="1:8" ht="15" customHeight="1" x14ac:dyDescent="0.35">
      <c r="A144" s="8"/>
    </row>
    <row r="145" spans="1:1" ht="15" customHeight="1" x14ac:dyDescent="0.35">
      <c r="A145" s="8"/>
    </row>
    <row r="146" spans="1:1" ht="15" customHeight="1" x14ac:dyDescent="0.35">
      <c r="A146" s="8"/>
    </row>
    <row r="147" spans="1:1" ht="15" customHeight="1" x14ac:dyDescent="0.35">
      <c r="A147" s="8"/>
    </row>
    <row r="148" spans="1:1" ht="15" customHeight="1" x14ac:dyDescent="0.35">
      <c r="A148" s="8"/>
    </row>
    <row r="149" spans="1:1" ht="15" customHeight="1" x14ac:dyDescent="0.35">
      <c r="A149" s="8"/>
    </row>
    <row r="150" spans="1:1" ht="15" customHeight="1" x14ac:dyDescent="0.35">
      <c r="A150" s="8"/>
    </row>
    <row r="151" spans="1:1" ht="15" customHeight="1" x14ac:dyDescent="0.35">
      <c r="A151" s="8"/>
    </row>
    <row r="152" spans="1:1" ht="15" customHeight="1" x14ac:dyDescent="0.35">
      <c r="A152" s="8"/>
    </row>
    <row r="153" spans="1:1" ht="15" customHeight="1" x14ac:dyDescent="0.35">
      <c r="A153" s="8"/>
    </row>
    <row r="154" spans="1:1" ht="15" customHeight="1" x14ac:dyDescent="0.35">
      <c r="A154" s="8"/>
    </row>
    <row r="155" spans="1:1" ht="15" customHeight="1" x14ac:dyDescent="0.35">
      <c r="A155" s="8"/>
    </row>
    <row r="156" spans="1:1" ht="15" customHeight="1" x14ac:dyDescent="0.35">
      <c r="A156" s="8"/>
    </row>
    <row r="157" spans="1:1" ht="15" customHeight="1" x14ac:dyDescent="0.35">
      <c r="A157" s="8"/>
    </row>
    <row r="158" spans="1:1" ht="15" customHeight="1" x14ac:dyDescent="0.35">
      <c r="A158" s="8"/>
    </row>
    <row r="159" spans="1:1" ht="15" customHeight="1" x14ac:dyDescent="0.35">
      <c r="A159" s="8"/>
    </row>
    <row r="160" spans="1:1" ht="15" customHeight="1" x14ac:dyDescent="0.35">
      <c r="A160" s="8"/>
    </row>
    <row r="161" spans="1:1" ht="15" customHeight="1" x14ac:dyDescent="0.35">
      <c r="A161" s="8"/>
    </row>
    <row r="162" spans="1:1" ht="15" customHeight="1" x14ac:dyDescent="0.35">
      <c r="A162" s="8"/>
    </row>
    <row r="163" spans="1:1" ht="15" customHeight="1" x14ac:dyDescent="0.35">
      <c r="A163" s="8"/>
    </row>
    <row r="164" spans="1:1" ht="15" customHeight="1" x14ac:dyDescent="0.35">
      <c r="A164" s="8"/>
    </row>
    <row r="165" spans="1:1" ht="15" customHeight="1" x14ac:dyDescent="0.35">
      <c r="A165" s="8"/>
    </row>
    <row r="166" spans="1:1" ht="15" customHeight="1" x14ac:dyDescent="0.35">
      <c r="A166" s="8"/>
    </row>
    <row r="167" spans="1:1" ht="15" customHeight="1" x14ac:dyDescent="0.35">
      <c r="A167" s="8"/>
    </row>
    <row r="168" spans="1:1" ht="15" customHeight="1" x14ac:dyDescent="0.35">
      <c r="A168" s="8"/>
    </row>
    <row r="169" spans="1:1" ht="15" customHeight="1" x14ac:dyDescent="0.35">
      <c r="A169" s="8"/>
    </row>
    <row r="170" spans="1:1" ht="15" customHeight="1" x14ac:dyDescent="0.35">
      <c r="A170" s="8"/>
    </row>
    <row r="171" spans="1:1" ht="15" customHeight="1" x14ac:dyDescent="0.35">
      <c r="A171" s="8"/>
    </row>
    <row r="172" spans="1:1" ht="15" customHeight="1" x14ac:dyDescent="0.35">
      <c r="A172" s="8"/>
    </row>
    <row r="173" spans="1:1" ht="15" customHeight="1" x14ac:dyDescent="0.35">
      <c r="A173" s="8"/>
    </row>
    <row r="174" spans="1:1" ht="15" customHeight="1" x14ac:dyDescent="0.35">
      <c r="A174" s="8"/>
    </row>
    <row r="175" spans="1:1" ht="15" customHeight="1" x14ac:dyDescent="0.35">
      <c r="A175" s="8"/>
    </row>
    <row r="176" spans="1:1" ht="15" customHeight="1" x14ac:dyDescent="0.35">
      <c r="A176" s="8"/>
    </row>
    <row r="177" spans="1:1" ht="15" customHeight="1" x14ac:dyDescent="0.35">
      <c r="A177" s="8"/>
    </row>
    <row r="178" spans="1:1" ht="15" customHeight="1" x14ac:dyDescent="0.35">
      <c r="A178" s="8"/>
    </row>
    <row r="179" spans="1:1" ht="15" customHeight="1" x14ac:dyDescent="0.35">
      <c r="A179" s="8"/>
    </row>
    <row r="180" spans="1:1" ht="15" customHeight="1" x14ac:dyDescent="0.35">
      <c r="A180" s="8"/>
    </row>
    <row r="181" spans="1:1" ht="15" customHeight="1" x14ac:dyDescent="0.35">
      <c r="A181" s="8"/>
    </row>
    <row r="182" spans="1:1" ht="15" customHeight="1" x14ac:dyDescent="0.35">
      <c r="A182" s="8"/>
    </row>
    <row r="183" spans="1:1" ht="15" customHeight="1" x14ac:dyDescent="0.35">
      <c r="A183" s="8"/>
    </row>
    <row r="184" spans="1:1" ht="15" customHeight="1" x14ac:dyDescent="0.35">
      <c r="A184" s="8"/>
    </row>
    <row r="185" spans="1:1" ht="15" customHeight="1" x14ac:dyDescent="0.35">
      <c r="A185" s="8"/>
    </row>
    <row r="186" spans="1:1" ht="15" customHeight="1" x14ac:dyDescent="0.35">
      <c r="A186" s="8"/>
    </row>
    <row r="187" spans="1:1" ht="15" customHeight="1" x14ac:dyDescent="0.35">
      <c r="A187" s="8"/>
    </row>
    <row r="188" spans="1:1" ht="15" customHeight="1" x14ac:dyDescent="0.35">
      <c r="A188" s="8"/>
    </row>
    <row r="189" spans="1:1" ht="15" customHeight="1" x14ac:dyDescent="0.35">
      <c r="A189" s="8"/>
    </row>
    <row r="190" spans="1:1" ht="15" customHeight="1" x14ac:dyDescent="0.35">
      <c r="A190" s="8"/>
    </row>
    <row r="191" spans="1:1" ht="15" customHeight="1" x14ac:dyDescent="0.35">
      <c r="A191" s="8"/>
    </row>
    <row r="192" spans="1:1" ht="15" customHeight="1" x14ac:dyDescent="0.35">
      <c r="A192" s="8"/>
    </row>
    <row r="193" spans="1:1" ht="15" customHeight="1" x14ac:dyDescent="0.35">
      <c r="A193" s="8"/>
    </row>
    <row r="194" spans="1:1" ht="15" customHeight="1" x14ac:dyDescent="0.35">
      <c r="A194" s="8"/>
    </row>
    <row r="195" spans="1:1" ht="15" customHeight="1" x14ac:dyDescent="0.35">
      <c r="A195" s="8"/>
    </row>
    <row r="196" spans="1:1" ht="15" customHeight="1" x14ac:dyDescent="0.35">
      <c r="A196" s="8"/>
    </row>
    <row r="197" spans="1:1" ht="15" customHeight="1" x14ac:dyDescent="0.35">
      <c r="A197" s="8"/>
    </row>
    <row r="198" spans="1:1" ht="15" customHeight="1" x14ac:dyDescent="0.35">
      <c r="A198" s="8"/>
    </row>
    <row r="199" spans="1:1" ht="15" customHeight="1" x14ac:dyDescent="0.35">
      <c r="A199" s="8"/>
    </row>
    <row r="200" spans="1:1" ht="15" customHeight="1" x14ac:dyDescent="0.35">
      <c r="A200" s="8"/>
    </row>
    <row r="201" spans="1:1" ht="15" customHeight="1" x14ac:dyDescent="0.35">
      <c r="A201" s="8"/>
    </row>
    <row r="202" spans="1:1" ht="15" customHeight="1" x14ac:dyDescent="0.35">
      <c r="A202" s="8"/>
    </row>
    <row r="203" spans="1:1" ht="15" customHeight="1" x14ac:dyDescent="0.35">
      <c r="A203" s="8"/>
    </row>
    <row r="204" spans="1:1" ht="15" customHeight="1" x14ac:dyDescent="0.35">
      <c r="A204" s="8"/>
    </row>
    <row r="205" spans="1:1" ht="15" customHeight="1" x14ac:dyDescent="0.35">
      <c r="A205" s="8"/>
    </row>
    <row r="206" spans="1:1" ht="15" customHeight="1" x14ac:dyDescent="0.35">
      <c r="A206" s="8"/>
    </row>
    <row r="207" spans="1:1" ht="15" customHeight="1" x14ac:dyDescent="0.35">
      <c r="A207" s="8"/>
    </row>
    <row r="208" spans="1:1" ht="15" customHeight="1" x14ac:dyDescent="0.35">
      <c r="A208" s="8"/>
    </row>
    <row r="209" spans="1:1" ht="15" customHeight="1" x14ac:dyDescent="0.35">
      <c r="A209" s="8"/>
    </row>
    <row r="210" spans="1:1" ht="15" customHeight="1" x14ac:dyDescent="0.35">
      <c r="A210" s="8"/>
    </row>
    <row r="211" spans="1:1" ht="15" customHeight="1" x14ac:dyDescent="0.35">
      <c r="A211" s="8"/>
    </row>
    <row r="212" spans="1:1" ht="15" customHeight="1" x14ac:dyDescent="0.35">
      <c r="A212" s="8"/>
    </row>
    <row r="213" spans="1:1" ht="15" customHeight="1" x14ac:dyDescent="0.35">
      <c r="A213" s="8"/>
    </row>
    <row r="214" spans="1:1" ht="15" customHeight="1" x14ac:dyDescent="0.35">
      <c r="A214" s="8"/>
    </row>
    <row r="215" spans="1:1" ht="15" customHeight="1" x14ac:dyDescent="0.35">
      <c r="A215" s="8"/>
    </row>
    <row r="216" spans="1:1" ht="15" customHeight="1" x14ac:dyDescent="0.35">
      <c r="A216" s="8"/>
    </row>
    <row r="217" spans="1:1" ht="15" customHeight="1" x14ac:dyDescent="0.35">
      <c r="A217" s="8"/>
    </row>
    <row r="218" spans="1:1" ht="15" customHeight="1" x14ac:dyDescent="0.35">
      <c r="A218" s="8"/>
    </row>
    <row r="219" spans="1:1" ht="15" customHeight="1" x14ac:dyDescent="0.35">
      <c r="A219" s="8"/>
    </row>
    <row r="220" spans="1:1" ht="15" customHeight="1" x14ac:dyDescent="0.35">
      <c r="A220" s="8"/>
    </row>
    <row r="221" spans="1:1" ht="15" customHeight="1" x14ac:dyDescent="0.35">
      <c r="A221" s="8"/>
    </row>
    <row r="222" spans="1:1" ht="15" customHeight="1" x14ac:dyDescent="0.35">
      <c r="A222" s="8"/>
    </row>
    <row r="223" spans="1:1" ht="15" customHeight="1" x14ac:dyDescent="0.35">
      <c r="A223" s="8"/>
    </row>
    <row r="224" spans="1:1" ht="15" customHeight="1" x14ac:dyDescent="0.35">
      <c r="A224" s="8"/>
    </row>
    <row r="225" spans="1:1" ht="15" customHeight="1" x14ac:dyDescent="0.35">
      <c r="A225" s="8"/>
    </row>
    <row r="226" spans="1:1" ht="15" customHeight="1" x14ac:dyDescent="0.35">
      <c r="A226" s="8"/>
    </row>
    <row r="227" spans="1:1" ht="15" customHeight="1" x14ac:dyDescent="0.35">
      <c r="A227" s="8"/>
    </row>
    <row r="228" spans="1:1" ht="15" customHeight="1" x14ac:dyDescent="0.35">
      <c r="A228" s="8"/>
    </row>
    <row r="229" spans="1:1" ht="15" customHeight="1" x14ac:dyDescent="0.35">
      <c r="A229" s="8"/>
    </row>
    <row r="230" spans="1:1" ht="15" customHeight="1" x14ac:dyDescent="0.35">
      <c r="A230" s="8"/>
    </row>
    <row r="231" spans="1:1" ht="15" customHeight="1" x14ac:dyDescent="0.35">
      <c r="A231" s="8"/>
    </row>
    <row r="232" spans="1:1" ht="15" customHeight="1" x14ac:dyDescent="0.35">
      <c r="A232" s="8"/>
    </row>
    <row r="233" spans="1:1" ht="15" customHeight="1" x14ac:dyDescent="0.35">
      <c r="A233" s="8"/>
    </row>
    <row r="234" spans="1:1" ht="15" customHeight="1" x14ac:dyDescent="0.35">
      <c r="A234" s="8"/>
    </row>
    <row r="235" spans="1:1" ht="15" customHeight="1" x14ac:dyDescent="0.35">
      <c r="A235" s="8"/>
    </row>
    <row r="236" spans="1:1" ht="15" customHeight="1" x14ac:dyDescent="0.35">
      <c r="A236" s="8"/>
    </row>
    <row r="237" spans="1:1" ht="15" customHeight="1" x14ac:dyDescent="0.35">
      <c r="A237" s="8"/>
    </row>
    <row r="238" spans="1:1" ht="15" customHeight="1" x14ac:dyDescent="0.35">
      <c r="A238" s="8"/>
    </row>
    <row r="239" spans="1:1" ht="15" customHeight="1" x14ac:dyDescent="0.35">
      <c r="A239" s="8"/>
    </row>
    <row r="240" spans="1:1" ht="15" customHeight="1" x14ac:dyDescent="0.35">
      <c r="A240" s="8"/>
    </row>
    <row r="241" spans="1:1" ht="15" customHeight="1" x14ac:dyDescent="0.35">
      <c r="A241" s="8"/>
    </row>
    <row r="242" spans="1:1" ht="15" customHeight="1" x14ac:dyDescent="0.35">
      <c r="A242" s="8"/>
    </row>
    <row r="243" spans="1:1" ht="15" customHeight="1" x14ac:dyDescent="0.35">
      <c r="A243" s="8"/>
    </row>
    <row r="244" spans="1:1" ht="15" customHeight="1" x14ac:dyDescent="0.35">
      <c r="A244" s="8"/>
    </row>
    <row r="245" spans="1:1" ht="15" customHeight="1" x14ac:dyDescent="0.35">
      <c r="A245" s="8"/>
    </row>
    <row r="246" spans="1:1" ht="15" customHeight="1" x14ac:dyDescent="0.35">
      <c r="A246" s="8"/>
    </row>
    <row r="247" spans="1:1" ht="15" customHeight="1" x14ac:dyDescent="0.35">
      <c r="A247" s="8"/>
    </row>
    <row r="248" spans="1:1" ht="15" customHeight="1" x14ac:dyDescent="0.35">
      <c r="A248" s="8"/>
    </row>
    <row r="249" spans="1:1" ht="15" customHeight="1" x14ac:dyDescent="0.35">
      <c r="A249" s="8"/>
    </row>
    <row r="250" spans="1:1" ht="15" customHeight="1" x14ac:dyDescent="0.35">
      <c r="A250" s="8"/>
    </row>
    <row r="251" spans="1:1" ht="15" customHeight="1" x14ac:dyDescent="0.35">
      <c r="A251" s="8"/>
    </row>
    <row r="252" spans="1:1" ht="15" customHeight="1" x14ac:dyDescent="0.35">
      <c r="A252" s="8"/>
    </row>
    <row r="253" spans="1:1" ht="15" customHeight="1" x14ac:dyDescent="0.35">
      <c r="A253" s="8"/>
    </row>
    <row r="254" spans="1:1" ht="15" customHeight="1" x14ac:dyDescent="0.35">
      <c r="A254" s="8"/>
    </row>
    <row r="255" spans="1:1" ht="15" customHeight="1" x14ac:dyDescent="0.35">
      <c r="A255" s="8"/>
    </row>
    <row r="256" spans="1:1" ht="15" customHeight="1" x14ac:dyDescent="0.35">
      <c r="A256" s="8"/>
    </row>
    <row r="257" spans="1:1" ht="15" customHeight="1" x14ac:dyDescent="0.35">
      <c r="A257" s="8"/>
    </row>
    <row r="258" spans="1:1" ht="15" customHeight="1" x14ac:dyDescent="0.35">
      <c r="A258" s="8"/>
    </row>
    <row r="259" spans="1:1" ht="15" customHeight="1" x14ac:dyDescent="0.35">
      <c r="A259" s="8"/>
    </row>
    <row r="260" spans="1:1" ht="15" customHeight="1" x14ac:dyDescent="0.35">
      <c r="A260" s="8"/>
    </row>
    <row r="261" spans="1:1" ht="15" customHeight="1" x14ac:dyDescent="0.35">
      <c r="A261" s="8"/>
    </row>
    <row r="262" spans="1:1" ht="15" customHeight="1" x14ac:dyDescent="0.35">
      <c r="A262" s="8"/>
    </row>
    <row r="263" spans="1:1" ht="15" customHeight="1" x14ac:dyDescent="0.35">
      <c r="A263" s="8"/>
    </row>
    <row r="264" spans="1:1" ht="15" customHeight="1" x14ac:dyDescent="0.35">
      <c r="A264" s="8"/>
    </row>
    <row r="265" spans="1:1" ht="15" customHeight="1" x14ac:dyDescent="0.35">
      <c r="A265" s="8"/>
    </row>
    <row r="266" spans="1:1" ht="15" customHeight="1" x14ac:dyDescent="0.35">
      <c r="A266" s="8"/>
    </row>
    <row r="267" spans="1:1" ht="15" customHeight="1" x14ac:dyDescent="0.35">
      <c r="A267" s="8"/>
    </row>
    <row r="268" spans="1:1" ht="15" customHeight="1" x14ac:dyDescent="0.35">
      <c r="A268" s="8"/>
    </row>
    <row r="269" spans="1:1" ht="15" customHeight="1" x14ac:dyDescent="0.35">
      <c r="A269" s="8"/>
    </row>
    <row r="270" spans="1:1" ht="15" customHeight="1" x14ac:dyDescent="0.35">
      <c r="A270" s="8"/>
    </row>
    <row r="271" spans="1:1" ht="15" customHeight="1" x14ac:dyDescent="0.35">
      <c r="A271" s="8"/>
    </row>
    <row r="272" spans="1:1" ht="15" customHeight="1" x14ac:dyDescent="0.35">
      <c r="A272" s="8"/>
    </row>
    <row r="273" spans="1:1" ht="15" customHeight="1" x14ac:dyDescent="0.35">
      <c r="A273" s="8"/>
    </row>
    <row r="274" spans="1:1" ht="15" customHeight="1" x14ac:dyDescent="0.35">
      <c r="A274" s="8"/>
    </row>
    <row r="275" spans="1:1" ht="15" customHeight="1" x14ac:dyDescent="0.35">
      <c r="A275" s="8"/>
    </row>
    <row r="276" spans="1:1" ht="15" customHeight="1" x14ac:dyDescent="0.35">
      <c r="A276" s="8"/>
    </row>
    <row r="277" spans="1:1" ht="15" customHeight="1" x14ac:dyDescent="0.35">
      <c r="A277" s="8"/>
    </row>
    <row r="278" spans="1:1" ht="15" customHeight="1" x14ac:dyDescent="0.35">
      <c r="A278" s="8"/>
    </row>
    <row r="279" spans="1:1" ht="15" customHeight="1" x14ac:dyDescent="0.35">
      <c r="A279" s="8"/>
    </row>
    <row r="280" spans="1:1" ht="15" customHeight="1" x14ac:dyDescent="0.35">
      <c r="A280" s="8"/>
    </row>
    <row r="281" spans="1:1" ht="15" customHeight="1" x14ac:dyDescent="0.35">
      <c r="A281" s="8"/>
    </row>
    <row r="282" spans="1:1" ht="15" customHeight="1" x14ac:dyDescent="0.35">
      <c r="A282" s="8"/>
    </row>
    <row r="283" spans="1:1" ht="15" customHeight="1" x14ac:dyDescent="0.35">
      <c r="A283" s="8"/>
    </row>
    <row r="284" spans="1:1" ht="15" customHeight="1" x14ac:dyDescent="0.35">
      <c r="A284" s="8"/>
    </row>
    <row r="285" spans="1:1" ht="15" customHeight="1" x14ac:dyDescent="0.35">
      <c r="A285" s="8"/>
    </row>
    <row r="286" spans="1:1" ht="15" customHeight="1" x14ac:dyDescent="0.35">
      <c r="A286" s="8"/>
    </row>
    <row r="287" spans="1:1" ht="15" customHeight="1" x14ac:dyDescent="0.35">
      <c r="A287" s="8"/>
    </row>
    <row r="288" spans="1:1" ht="15" customHeight="1" x14ac:dyDescent="0.35">
      <c r="A288" s="8"/>
    </row>
    <row r="289" spans="1:1" ht="15" customHeight="1" x14ac:dyDescent="0.35">
      <c r="A289" s="8"/>
    </row>
    <row r="290" spans="1:1" ht="15" customHeight="1" x14ac:dyDescent="0.35">
      <c r="A290" s="8"/>
    </row>
    <row r="291" spans="1:1" ht="15" customHeight="1" x14ac:dyDescent="0.35">
      <c r="A291" s="8"/>
    </row>
    <row r="292" spans="1:1" ht="15" customHeight="1" x14ac:dyDescent="0.35">
      <c r="A292" s="8"/>
    </row>
    <row r="293" spans="1:1" ht="15" customHeight="1" x14ac:dyDescent="0.35">
      <c r="A293" s="8"/>
    </row>
    <row r="294" spans="1:1" ht="15" customHeight="1" x14ac:dyDescent="0.35">
      <c r="A294" s="8"/>
    </row>
    <row r="295" spans="1:1" ht="15" customHeight="1" x14ac:dyDescent="0.35">
      <c r="A295" s="8"/>
    </row>
    <row r="296" spans="1:1" ht="15" customHeight="1" x14ac:dyDescent="0.35">
      <c r="A296" s="8"/>
    </row>
    <row r="297" spans="1:1" ht="15" customHeight="1" x14ac:dyDescent="0.35">
      <c r="A297" s="8"/>
    </row>
    <row r="298" spans="1:1" ht="15" customHeight="1" x14ac:dyDescent="0.35">
      <c r="A298" s="8"/>
    </row>
    <row r="299" spans="1:1" ht="15" customHeight="1" x14ac:dyDescent="0.35">
      <c r="A299" s="8"/>
    </row>
    <row r="300" spans="1:1" ht="15" customHeight="1" x14ac:dyDescent="0.35">
      <c r="A300" s="8"/>
    </row>
    <row r="301" spans="1:1" ht="15" customHeight="1" x14ac:dyDescent="0.35">
      <c r="A301" s="8"/>
    </row>
    <row r="302" spans="1:1" ht="15" customHeight="1" x14ac:dyDescent="0.35">
      <c r="A302" s="8"/>
    </row>
    <row r="303" spans="1:1" ht="15" customHeight="1" x14ac:dyDescent="0.35">
      <c r="A303" s="8"/>
    </row>
    <row r="304" spans="1:1" ht="15" customHeight="1" x14ac:dyDescent="0.35">
      <c r="A304" s="8"/>
    </row>
    <row r="305" spans="1:1" ht="15" customHeight="1" x14ac:dyDescent="0.35">
      <c r="A305" s="8"/>
    </row>
    <row r="306" spans="1:1" ht="15" customHeight="1" x14ac:dyDescent="0.35">
      <c r="A306" s="8"/>
    </row>
    <row r="307" spans="1:1" ht="15" customHeight="1" x14ac:dyDescent="0.35">
      <c r="A307" s="8"/>
    </row>
    <row r="308" spans="1:1" ht="15" customHeight="1" x14ac:dyDescent="0.35">
      <c r="A308" s="8"/>
    </row>
    <row r="309" spans="1:1" ht="15" customHeight="1" x14ac:dyDescent="0.35">
      <c r="A309" s="8"/>
    </row>
    <row r="310" spans="1:1" ht="15" customHeight="1" x14ac:dyDescent="0.35">
      <c r="A310" s="8"/>
    </row>
    <row r="311" spans="1:1" ht="15" customHeight="1" x14ac:dyDescent="0.35">
      <c r="A311" s="8"/>
    </row>
    <row r="312" spans="1:1" ht="15" customHeight="1" x14ac:dyDescent="0.35">
      <c r="A312" s="8"/>
    </row>
    <row r="313" spans="1:1" ht="15" customHeight="1" x14ac:dyDescent="0.35">
      <c r="A313" s="8"/>
    </row>
    <row r="314" spans="1:1" ht="15" customHeight="1" x14ac:dyDescent="0.35">
      <c r="A314" s="8"/>
    </row>
    <row r="315" spans="1:1" ht="15" customHeight="1" x14ac:dyDescent="0.35">
      <c r="A315" s="8"/>
    </row>
    <row r="316" spans="1:1" ht="15" customHeight="1" x14ac:dyDescent="0.35">
      <c r="A316" s="8"/>
    </row>
    <row r="317" spans="1:1" ht="15" customHeight="1" x14ac:dyDescent="0.35">
      <c r="A317" s="8"/>
    </row>
    <row r="318" spans="1:1" ht="15" customHeight="1" x14ac:dyDescent="0.35">
      <c r="A318" s="8"/>
    </row>
    <row r="319" spans="1:1" ht="15" customHeight="1" x14ac:dyDescent="0.35">
      <c r="A319" s="8"/>
    </row>
    <row r="320" spans="1:1" ht="15" customHeight="1" x14ac:dyDescent="0.35">
      <c r="A320" s="8"/>
    </row>
    <row r="321" spans="1:1" ht="15" customHeight="1" x14ac:dyDescent="0.35">
      <c r="A321" s="8"/>
    </row>
    <row r="322" spans="1:1" ht="15" customHeight="1" x14ac:dyDescent="0.35">
      <c r="A322" s="8"/>
    </row>
    <row r="323" spans="1:1" ht="15" customHeight="1" x14ac:dyDescent="0.35">
      <c r="A323" s="8"/>
    </row>
    <row r="324" spans="1:1" ht="15" customHeight="1" x14ac:dyDescent="0.35">
      <c r="A324" s="8"/>
    </row>
    <row r="325" spans="1:1" ht="15" customHeight="1" x14ac:dyDescent="0.35">
      <c r="A325" s="8"/>
    </row>
    <row r="326" spans="1:1" ht="15" customHeight="1" x14ac:dyDescent="0.35">
      <c r="A326" s="8"/>
    </row>
    <row r="327" spans="1:1" ht="15" customHeight="1" x14ac:dyDescent="0.35">
      <c r="A327" s="8"/>
    </row>
    <row r="328" spans="1:1" ht="15" customHeight="1" x14ac:dyDescent="0.35">
      <c r="A328" s="8"/>
    </row>
    <row r="329" spans="1:1" ht="15" customHeight="1" x14ac:dyDescent="0.35">
      <c r="A329" s="8"/>
    </row>
    <row r="330" spans="1:1" ht="15" customHeight="1" x14ac:dyDescent="0.35">
      <c r="A330" s="8"/>
    </row>
    <row r="331" spans="1:1" ht="15" customHeight="1" x14ac:dyDescent="0.35">
      <c r="A331" s="8"/>
    </row>
    <row r="332" spans="1:1" ht="15" customHeight="1" x14ac:dyDescent="0.35">
      <c r="A332" s="8"/>
    </row>
    <row r="333" spans="1:1" ht="15" customHeight="1" x14ac:dyDescent="0.35">
      <c r="A333" s="8"/>
    </row>
    <row r="334" spans="1:1" ht="15" customHeight="1" x14ac:dyDescent="0.35">
      <c r="A334" s="8"/>
    </row>
    <row r="335" spans="1:1" ht="15" customHeight="1" x14ac:dyDescent="0.35">
      <c r="A335" s="8"/>
    </row>
    <row r="336" spans="1:1" ht="15" customHeight="1" x14ac:dyDescent="0.35">
      <c r="A336" s="8"/>
    </row>
    <row r="337" spans="1:1" ht="15" customHeight="1" x14ac:dyDescent="0.35">
      <c r="A337" s="8"/>
    </row>
    <row r="338" spans="1:1" ht="15" customHeight="1" x14ac:dyDescent="0.35">
      <c r="A338" s="8"/>
    </row>
    <row r="339" spans="1:1" ht="15" customHeight="1" x14ac:dyDescent="0.35">
      <c r="A339" s="8"/>
    </row>
    <row r="340" spans="1:1" ht="15" customHeight="1" x14ac:dyDescent="0.35">
      <c r="A340" s="8"/>
    </row>
    <row r="341" spans="1:1" ht="15" customHeight="1" x14ac:dyDescent="0.35">
      <c r="A341" s="8"/>
    </row>
    <row r="342" spans="1:1" ht="15" customHeight="1" x14ac:dyDescent="0.35">
      <c r="A342" s="8"/>
    </row>
    <row r="343" spans="1:1" ht="15" customHeight="1" x14ac:dyDescent="0.35">
      <c r="A343" s="8"/>
    </row>
    <row r="344" spans="1:1" ht="15" customHeight="1" x14ac:dyDescent="0.35">
      <c r="A344" s="8"/>
    </row>
    <row r="345" spans="1:1" ht="15" customHeight="1" x14ac:dyDescent="0.35">
      <c r="A345" s="8"/>
    </row>
    <row r="346" spans="1:1" ht="15" customHeight="1" x14ac:dyDescent="0.35">
      <c r="A346" s="8"/>
    </row>
    <row r="347" spans="1:1" ht="15" customHeight="1" x14ac:dyDescent="0.35">
      <c r="A347" s="8"/>
    </row>
    <row r="348" spans="1:1" ht="15" customHeight="1" x14ac:dyDescent="0.35">
      <c r="A348" s="8"/>
    </row>
    <row r="349" spans="1:1" ht="15" customHeight="1" x14ac:dyDescent="0.35">
      <c r="A349" s="8"/>
    </row>
    <row r="350" spans="1:1" ht="15" customHeight="1" x14ac:dyDescent="0.35">
      <c r="A350" s="8"/>
    </row>
    <row r="351" spans="1:1" ht="15" customHeight="1" x14ac:dyDescent="0.35">
      <c r="A351" s="8"/>
    </row>
    <row r="352" spans="1:1" ht="15" customHeight="1" x14ac:dyDescent="0.35">
      <c r="A352" s="8"/>
    </row>
    <row r="353" spans="1:1" ht="15" customHeight="1" x14ac:dyDescent="0.35">
      <c r="A353" s="8"/>
    </row>
    <row r="354" spans="1:1" ht="15" customHeight="1" x14ac:dyDescent="0.35">
      <c r="A354" s="8"/>
    </row>
    <row r="355" spans="1:1" ht="15" customHeight="1" x14ac:dyDescent="0.35">
      <c r="A355" s="8"/>
    </row>
    <row r="356" spans="1:1" ht="15" customHeight="1" x14ac:dyDescent="0.35">
      <c r="A356" s="8"/>
    </row>
    <row r="357" spans="1:1" ht="15" customHeight="1" x14ac:dyDescent="0.35">
      <c r="A357" s="8"/>
    </row>
    <row r="358" spans="1:1" ht="15" customHeight="1" x14ac:dyDescent="0.35">
      <c r="A358" s="8"/>
    </row>
    <row r="359" spans="1:1" ht="15" customHeight="1" x14ac:dyDescent="0.35">
      <c r="A359" s="8"/>
    </row>
    <row r="360" spans="1:1" ht="15" customHeight="1" x14ac:dyDescent="0.35">
      <c r="A360" s="8"/>
    </row>
    <row r="361" spans="1:1" ht="15" customHeight="1" x14ac:dyDescent="0.35">
      <c r="A361" s="8"/>
    </row>
    <row r="362" spans="1:1" ht="15" customHeight="1" x14ac:dyDescent="0.35">
      <c r="A362" s="8"/>
    </row>
    <row r="363" spans="1:1" ht="15" customHeight="1" x14ac:dyDescent="0.35">
      <c r="A363" s="8"/>
    </row>
    <row r="364" spans="1:1" ht="15" customHeight="1" x14ac:dyDescent="0.35">
      <c r="A364" s="8"/>
    </row>
    <row r="365" spans="1:1" ht="15" customHeight="1" x14ac:dyDescent="0.35">
      <c r="A365" s="8"/>
    </row>
    <row r="366" spans="1:1" ht="15" customHeight="1" x14ac:dyDescent="0.35">
      <c r="A366" s="8"/>
    </row>
    <row r="367" spans="1:1" ht="15" customHeight="1" x14ac:dyDescent="0.35">
      <c r="A367" s="8"/>
    </row>
    <row r="368" spans="1:1" ht="15" customHeight="1" x14ac:dyDescent="0.35">
      <c r="A368" s="8"/>
    </row>
    <row r="369" spans="1:1" ht="15" customHeight="1" x14ac:dyDescent="0.35">
      <c r="A369" s="8"/>
    </row>
    <row r="370" spans="1:1" ht="15" customHeight="1" x14ac:dyDescent="0.35">
      <c r="A370" s="8"/>
    </row>
    <row r="371" spans="1:1" ht="15" customHeight="1" x14ac:dyDescent="0.35">
      <c r="A371" s="8"/>
    </row>
    <row r="372" spans="1:1" ht="15" customHeight="1" x14ac:dyDescent="0.35">
      <c r="A372" s="8"/>
    </row>
    <row r="373" spans="1:1" ht="15" customHeight="1" x14ac:dyDescent="0.35">
      <c r="A373" s="8"/>
    </row>
    <row r="374" spans="1:1" ht="15" customHeight="1" x14ac:dyDescent="0.35">
      <c r="A374" s="8"/>
    </row>
    <row r="375" spans="1:1" ht="15" customHeight="1" x14ac:dyDescent="0.35">
      <c r="A375" s="8"/>
    </row>
    <row r="376" spans="1:1" ht="15" customHeight="1" x14ac:dyDescent="0.35">
      <c r="A376" s="8"/>
    </row>
    <row r="377" spans="1:1" ht="15" customHeight="1" x14ac:dyDescent="0.35">
      <c r="A377" s="8"/>
    </row>
    <row r="378" spans="1:1" ht="15" customHeight="1" x14ac:dyDescent="0.35">
      <c r="A378" s="8"/>
    </row>
    <row r="379" spans="1:1" ht="15" customHeight="1" x14ac:dyDescent="0.35">
      <c r="A379" s="8"/>
    </row>
    <row r="380" spans="1:1" ht="15" customHeight="1" x14ac:dyDescent="0.35">
      <c r="A380" s="8"/>
    </row>
    <row r="381" spans="1:1" ht="15" customHeight="1" x14ac:dyDescent="0.35">
      <c r="A381" s="8"/>
    </row>
    <row r="382" spans="1:1" ht="15" customHeight="1" x14ac:dyDescent="0.35">
      <c r="A382" s="8"/>
    </row>
    <row r="383" spans="1:1" ht="15" customHeight="1" x14ac:dyDescent="0.35">
      <c r="A383" s="8"/>
    </row>
    <row r="384" spans="1:1" ht="15" customHeight="1" x14ac:dyDescent="0.35">
      <c r="A384" s="8"/>
    </row>
    <row r="385" spans="1:1" ht="15" customHeight="1" x14ac:dyDescent="0.35">
      <c r="A385" s="8"/>
    </row>
    <row r="386" spans="1:1" ht="15" customHeight="1" x14ac:dyDescent="0.35">
      <c r="A386" s="8"/>
    </row>
    <row r="387" spans="1:1" ht="15" customHeight="1" x14ac:dyDescent="0.35">
      <c r="A387" s="8"/>
    </row>
    <row r="388" spans="1:1" ht="15" customHeight="1" x14ac:dyDescent="0.35">
      <c r="A388" s="8"/>
    </row>
    <row r="389" spans="1:1" ht="15" customHeight="1" x14ac:dyDescent="0.35">
      <c r="A389" s="8"/>
    </row>
    <row r="390" spans="1:1" ht="15" customHeight="1" x14ac:dyDescent="0.35">
      <c r="A390" s="8"/>
    </row>
    <row r="391" spans="1:1" ht="15" customHeight="1" x14ac:dyDescent="0.35">
      <c r="A391" s="8"/>
    </row>
    <row r="392" spans="1:1" ht="15" customHeight="1" x14ac:dyDescent="0.35">
      <c r="A392" s="8"/>
    </row>
    <row r="393" spans="1:1" ht="15" customHeight="1" x14ac:dyDescent="0.35">
      <c r="A393" s="8"/>
    </row>
    <row r="394" spans="1:1" ht="15" customHeight="1" x14ac:dyDescent="0.35">
      <c r="A394" s="8"/>
    </row>
    <row r="395" spans="1:1" ht="15" customHeight="1" x14ac:dyDescent="0.35">
      <c r="A395" s="8"/>
    </row>
    <row r="396" spans="1:1" ht="15" customHeight="1" x14ac:dyDescent="0.35">
      <c r="A396" s="8"/>
    </row>
    <row r="397" spans="1:1" ht="15" customHeight="1" x14ac:dyDescent="0.35">
      <c r="A397" s="8"/>
    </row>
    <row r="398" spans="1:1" ht="15" customHeight="1" x14ac:dyDescent="0.35">
      <c r="A398" s="8"/>
    </row>
    <row r="399" spans="1:1" ht="15" customHeight="1" x14ac:dyDescent="0.35">
      <c r="A399" s="8"/>
    </row>
    <row r="400" spans="1:1" ht="15" customHeight="1" x14ac:dyDescent="0.35">
      <c r="A400" s="8"/>
    </row>
    <row r="401" spans="1:1" ht="15" customHeight="1" x14ac:dyDescent="0.35">
      <c r="A401" s="8"/>
    </row>
    <row r="402" spans="1:1" ht="15" customHeight="1" x14ac:dyDescent="0.35">
      <c r="A402" s="8"/>
    </row>
    <row r="403" spans="1:1" ht="15" customHeight="1" x14ac:dyDescent="0.35">
      <c r="A403" s="8"/>
    </row>
    <row r="404" spans="1:1" ht="15" customHeight="1" x14ac:dyDescent="0.35">
      <c r="A404" s="8"/>
    </row>
    <row r="405" spans="1:1" ht="15" customHeight="1" x14ac:dyDescent="0.35">
      <c r="A405" s="8"/>
    </row>
    <row r="406" spans="1:1" ht="15" customHeight="1" x14ac:dyDescent="0.35">
      <c r="A406" s="8"/>
    </row>
    <row r="407" spans="1:1" ht="15" customHeight="1" x14ac:dyDescent="0.35">
      <c r="A407" s="8"/>
    </row>
    <row r="408" spans="1:1" ht="15" customHeight="1" x14ac:dyDescent="0.35">
      <c r="A408" s="8"/>
    </row>
    <row r="409" spans="1:1" ht="15" customHeight="1" x14ac:dyDescent="0.35">
      <c r="A409" s="8"/>
    </row>
    <row r="410" spans="1:1" ht="15" customHeight="1" x14ac:dyDescent="0.35">
      <c r="A410" s="8"/>
    </row>
    <row r="411" spans="1:1" ht="15" customHeight="1" x14ac:dyDescent="0.35">
      <c r="A411" s="8"/>
    </row>
    <row r="412" spans="1:1" ht="15" customHeight="1" x14ac:dyDescent="0.35">
      <c r="A412" s="8"/>
    </row>
    <row r="413" spans="1:1" ht="15" customHeight="1" x14ac:dyDescent="0.35">
      <c r="A413" s="8"/>
    </row>
    <row r="414" spans="1:1" ht="15" customHeight="1" x14ac:dyDescent="0.35">
      <c r="A414" s="8"/>
    </row>
    <row r="415" spans="1:1" ht="15" customHeight="1" x14ac:dyDescent="0.35">
      <c r="A415" s="8"/>
    </row>
    <row r="416" spans="1:1" ht="15" customHeight="1" x14ac:dyDescent="0.35">
      <c r="A416" s="8"/>
    </row>
    <row r="417" spans="1:1" ht="15" customHeight="1" x14ac:dyDescent="0.35">
      <c r="A417" s="8"/>
    </row>
    <row r="418" spans="1:1" ht="15" customHeight="1" x14ac:dyDescent="0.35">
      <c r="A418" s="8"/>
    </row>
    <row r="419" spans="1:1" ht="15" customHeight="1" x14ac:dyDescent="0.35">
      <c r="A419" s="8"/>
    </row>
    <row r="420" spans="1:1" ht="15" customHeight="1" x14ac:dyDescent="0.35">
      <c r="A420" s="8"/>
    </row>
    <row r="421" spans="1:1" ht="15" customHeight="1" x14ac:dyDescent="0.35">
      <c r="A421" s="8"/>
    </row>
    <row r="422" spans="1:1" ht="15" customHeight="1" x14ac:dyDescent="0.35">
      <c r="A422" s="8"/>
    </row>
    <row r="423" spans="1:1" ht="15" customHeight="1" x14ac:dyDescent="0.35">
      <c r="A423" s="8"/>
    </row>
    <row r="424" spans="1:1" ht="15" customHeight="1" x14ac:dyDescent="0.35">
      <c r="A424" s="8"/>
    </row>
    <row r="425" spans="1:1" ht="15" customHeight="1" x14ac:dyDescent="0.35">
      <c r="A425" s="8"/>
    </row>
    <row r="426" spans="1:1" ht="15" customHeight="1" x14ac:dyDescent="0.35">
      <c r="A426" s="8"/>
    </row>
    <row r="427" spans="1:1" ht="15" customHeight="1" x14ac:dyDescent="0.35">
      <c r="A427" s="8"/>
    </row>
    <row r="428" spans="1:1" ht="15" customHeight="1" x14ac:dyDescent="0.35">
      <c r="A428" s="8"/>
    </row>
    <row r="429" spans="1:1" ht="15" customHeight="1" x14ac:dyDescent="0.35">
      <c r="A429" s="8"/>
    </row>
    <row r="430" spans="1:1" ht="15" customHeight="1" x14ac:dyDescent="0.35">
      <c r="A430" s="8"/>
    </row>
    <row r="431" spans="1:1" ht="15" customHeight="1" x14ac:dyDescent="0.35">
      <c r="A431" s="8"/>
    </row>
    <row r="432" spans="1:1" ht="15" customHeight="1" x14ac:dyDescent="0.35">
      <c r="A432" s="8"/>
    </row>
    <row r="433" spans="1:1" ht="15" customHeight="1" x14ac:dyDescent="0.35">
      <c r="A433" s="8"/>
    </row>
    <row r="434" spans="1:1" ht="15" customHeight="1" x14ac:dyDescent="0.35">
      <c r="A434" s="8"/>
    </row>
    <row r="435" spans="1:1" ht="15" customHeight="1" x14ac:dyDescent="0.35">
      <c r="A435" s="8"/>
    </row>
    <row r="436" spans="1:1" ht="15" customHeight="1" x14ac:dyDescent="0.35">
      <c r="A436" s="8"/>
    </row>
    <row r="437" spans="1:1" ht="15" customHeight="1" x14ac:dyDescent="0.35">
      <c r="A437" s="8"/>
    </row>
    <row r="438" spans="1:1" ht="15" customHeight="1" x14ac:dyDescent="0.35">
      <c r="A438" s="8"/>
    </row>
    <row r="439" spans="1:1" ht="15" customHeight="1" x14ac:dyDescent="0.35">
      <c r="A439" s="8"/>
    </row>
    <row r="440" spans="1:1" ht="15" customHeight="1" x14ac:dyDescent="0.35">
      <c r="A440" s="8"/>
    </row>
    <row r="441" spans="1:1" ht="15" customHeight="1" x14ac:dyDescent="0.35">
      <c r="A441" s="8"/>
    </row>
    <row r="442" spans="1:1" ht="15" customHeight="1" x14ac:dyDescent="0.35">
      <c r="A442" s="8"/>
    </row>
    <row r="443" spans="1:1" ht="15" customHeight="1" x14ac:dyDescent="0.35">
      <c r="A443" s="8"/>
    </row>
    <row r="444" spans="1:1" ht="15" customHeight="1" x14ac:dyDescent="0.35">
      <c r="A444" s="8"/>
    </row>
    <row r="445" spans="1:1" ht="15" customHeight="1" x14ac:dyDescent="0.35">
      <c r="A445" s="8"/>
    </row>
    <row r="446" spans="1:1" ht="15" customHeight="1" x14ac:dyDescent="0.35">
      <c r="A446" s="8"/>
    </row>
    <row r="447" spans="1:1" ht="15" customHeight="1" x14ac:dyDescent="0.35">
      <c r="A447" s="8"/>
    </row>
    <row r="448" spans="1:1" ht="15" customHeight="1" x14ac:dyDescent="0.35">
      <c r="A448" s="8"/>
    </row>
    <row r="449" spans="1:1" ht="15" customHeight="1" x14ac:dyDescent="0.35">
      <c r="A449" s="8"/>
    </row>
    <row r="450" spans="1:1" ht="15" customHeight="1" x14ac:dyDescent="0.35">
      <c r="A450" s="8"/>
    </row>
    <row r="451" spans="1:1" ht="15" customHeight="1" x14ac:dyDescent="0.35">
      <c r="A451" s="8"/>
    </row>
    <row r="452" spans="1:1" ht="15" customHeight="1" x14ac:dyDescent="0.35">
      <c r="A452" s="8"/>
    </row>
    <row r="453" spans="1:1" ht="15" customHeight="1" x14ac:dyDescent="0.35">
      <c r="A453" s="8"/>
    </row>
    <row r="454" spans="1:1" ht="15" customHeight="1" x14ac:dyDescent="0.35">
      <c r="A454" s="8"/>
    </row>
    <row r="455" spans="1:1" ht="15" customHeight="1" x14ac:dyDescent="0.35">
      <c r="A455" s="8"/>
    </row>
    <row r="456" spans="1:1" ht="15" customHeight="1" x14ac:dyDescent="0.35">
      <c r="A456" s="8"/>
    </row>
    <row r="457" spans="1:1" ht="15" customHeight="1" x14ac:dyDescent="0.35">
      <c r="A457" s="8"/>
    </row>
    <row r="458" spans="1:1" ht="15" customHeight="1" x14ac:dyDescent="0.35">
      <c r="A458" s="8"/>
    </row>
    <row r="459" spans="1:1" ht="15" customHeight="1" x14ac:dyDescent="0.35">
      <c r="A459" s="8"/>
    </row>
    <row r="460" spans="1:1" ht="15" customHeight="1" x14ac:dyDescent="0.35">
      <c r="A460" s="8"/>
    </row>
    <row r="461" spans="1:1" ht="15" customHeight="1" x14ac:dyDescent="0.35">
      <c r="A461" s="8"/>
    </row>
    <row r="462" spans="1:1" ht="15" customHeight="1" x14ac:dyDescent="0.35">
      <c r="A462" s="8"/>
    </row>
    <row r="463" spans="1:1" ht="15" customHeight="1" x14ac:dyDescent="0.35">
      <c r="A463" s="8"/>
    </row>
    <row r="464" spans="1:1" ht="15" customHeight="1" x14ac:dyDescent="0.35">
      <c r="A464" s="8"/>
    </row>
    <row r="465" spans="1:1" ht="15" customHeight="1" x14ac:dyDescent="0.35">
      <c r="A465" s="8"/>
    </row>
    <row r="466" spans="1:1" ht="15" customHeight="1" x14ac:dyDescent="0.35">
      <c r="A466" s="8"/>
    </row>
    <row r="467" spans="1:1" ht="15" customHeight="1" x14ac:dyDescent="0.35">
      <c r="A467" s="8"/>
    </row>
    <row r="468" spans="1:1" ht="15" customHeight="1" x14ac:dyDescent="0.35">
      <c r="A468" s="8"/>
    </row>
    <row r="469" spans="1:1" ht="15" customHeight="1" x14ac:dyDescent="0.35">
      <c r="A469" s="8"/>
    </row>
    <row r="470" spans="1:1" ht="15" customHeight="1" x14ac:dyDescent="0.35">
      <c r="A470" s="8"/>
    </row>
    <row r="471" spans="1:1" ht="15" customHeight="1" x14ac:dyDescent="0.35">
      <c r="A471" s="8"/>
    </row>
    <row r="472" spans="1:1" ht="15" customHeight="1" x14ac:dyDescent="0.35">
      <c r="A472" s="8"/>
    </row>
    <row r="473" spans="1:1" ht="15" customHeight="1" x14ac:dyDescent="0.35">
      <c r="A473" s="8"/>
    </row>
    <row r="474" spans="1:1" ht="15" customHeight="1" x14ac:dyDescent="0.35">
      <c r="A474" s="8"/>
    </row>
    <row r="475" spans="1:1" ht="15" customHeight="1" x14ac:dyDescent="0.35">
      <c r="A475" s="8"/>
    </row>
    <row r="476" spans="1:1" ht="15" customHeight="1" x14ac:dyDescent="0.35">
      <c r="A476" s="8"/>
    </row>
    <row r="477" spans="1:1" ht="15" customHeight="1" x14ac:dyDescent="0.35">
      <c r="A477" s="8"/>
    </row>
    <row r="478" spans="1:1" ht="15" customHeight="1" x14ac:dyDescent="0.35">
      <c r="A478" s="8"/>
    </row>
    <row r="479" spans="1:1" ht="15" customHeight="1" x14ac:dyDescent="0.35">
      <c r="A479" s="8"/>
    </row>
    <row r="480" spans="1:1" ht="15" customHeight="1" x14ac:dyDescent="0.35">
      <c r="A480" s="8"/>
    </row>
    <row r="481" spans="1:1" ht="15" customHeight="1" x14ac:dyDescent="0.35">
      <c r="A481" s="8"/>
    </row>
    <row r="482" spans="1:1" ht="15" customHeight="1" x14ac:dyDescent="0.35">
      <c r="A482" s="8"/>
    </row>
    <row r="483" spans="1:1" ht="15" customHeight="1" x14ac:dyDescent="0.35">
      <c r="A483" s="8"/>
    </row>
    <row r="484" spans="1:1" ht="15" customHeight="1" x14ac:dyDescent="0.35">
      <c r="A484" s="8"/>
    </row>
    <row r="485" spans="1:1" ht="15" customHeight="1" x14ac:dyDescent="0.35">
      <c r="A485" s="8"/>
    </row>
    <row r="486" spans="1:1" ht="15" customHeight="1" x14ac:dyDescent="0.35">
      <c r="A486" s="8"/>
    </row>
    <row r="487" spans="1:1" ht="15" customHeight="1" x14ac:dyDescent="0.35">
      <c r="A487" s="8"/>
    </row>
    <row r="488" spans="1:1" ht="15" customHeight="1" x14ac:dyDescent="0.35">
      <c r="A488" s="8"/>
    </row>
    <row r="489" spans="1:1" ht="15" customHeight="1" x14ac:dyDescent="0.35">
      <c r="A489" s="8"/>
    </row>
    <row r="490" spans="1:1" ht="15" customHeight="1" x14ac:dyDescent="0.35">
      <c r="A490" s="8"/>
    </row>
    <row r="491" spans="1:1" ht="15" customHeight="1" x14ac:dyDescent="0.35">
      <c r="A491" s="8"/>
    </row>
    <row r="492" spans="1:1" ht="15" customHeight="1" x14ac:dyDescent="0.35">
      <c r="A492" s="8"/>
    </row>
    <row r="493" spans="1:1" ht="15" customHeight="1" x14ac:dyDescent="0.35">
      <c r="A493" s="8"/>
    </row>
    <row r="494" spans="1:1" ht="15" customHeight="1" x14ac:dyDescent="0.35">
      <c r="A494" s="8"/>
    </row>
    <row r="495" spans="1:1" ht="15" customHeight="1" x14ac:dyDescent="0.35">
      <c r="A495" s="8"/>
    </row>
    <row r="496" spans="1:1" ht="15" customHeight="1" x14ac:dyDescent="0.35">
      <c r="A496" s="8"/>
    </row>
    <row r="497" spans="1:1" ht="15" customHeight="1" x14ac:dyDescent="0.35">
      <c r="A497" s="8"/>
    </row>
    <row r="498" spans="1:1" ht="15" customHeight="1" x14ac:dyDescent="0.35">
      <c r="A498" s="8"/>
    </row>
    <row r="499" spans="1:1" ht="15" customHeight="1" x14ac:dyDescent="0.35">
      <c r="A499" s="8"/>
    </row>
    <row r="500" spans="1:1" ht="15" customHeight="1" x14ac:dyDescent="0.35">
      <c r="A500" s="8"/>
    </row>
    <row r="501" spans="1:1" ht="15" customHeight="1" x14ac:dyDescent="0.35">
      <c r="A501" s="8"/>
    </row>
    <row r="502" spans="1:1" ht="15" customHeight="1" x14ac:dyDescent="0.35">
      <c r="A502" s="8"/>
    </row>
    <row r="503" spans="1:1" ht="15" customHeight="1" x14ac:dyDescent="0.35">
      <c r="A503" s="8"/>
    </row>
    <row r="504" spans="1:1" ht="15" customHeight="1" x14ac:dyDescent="0.35">
      <c r="A504" s="8"/>
    </row>
    <row r="505" spans="1:1" ht="15" customHeight="1" x14ac:dyDescent="0.35">
      <c r="A505" s="8"/>
    </row>
    <row r="506" spans="1:1" ht="15" customHeight="1" x14ac:dyDescent="0.35">
      <c r="A506" s="8"/>
    </row>
    <row r="507" spans="1:1" ht="15" customHeight="1" x14ac:dyDescent="0.35">
      <c r="A507" s="8"/>
    </row>
    <row r="508" spans="1:1" ht="15" customHeight="1" x14ac:dyDescent="0.35">
      <c r="A508" s="8"/>
    </row>
    <row r="509" spans="1:1" ht="15" customHeight="1" x14ac:dyDescent="0.35">
      <c r="A509" s="8"/>
    </row>
    <row r="510" spans="1:1" ht="15" customHeight="1" x14ac:dyDescent="0.35">
      <c r="A510" s="8"/>
    </row>
    <row r="511" spans="1:1" ht="15" customHeight="1" x14ac:dyDescent="0.35">
      <c r="A511" s="8"/>
    </row>
    <row r="512" spans="1:1" ht="15" customHeight="1" x14ac:dyDescent="0.35">
      <c r="A512" s="8"/>
    </row>
    <row r="513" spans="1:1" ht="15" customHeight="1" x14ac:dyDescent="0.35">
      <c r="A513" s="8"/>
    </row>
    <row r="514" spans="1:1" ht="15" customHeight="1" x14ac:dyDescent="0.35">
      <c r="A514" s="8"/>
    </row>
    <row r="515" spans="1:1" ht="15" customHeight="1" x14ac:dyDescent="0.35">
      <c r="A515" s="8"/>
    </row>
    <row r="516" spans="1:1" ht="15" customHeight="1" x14ac:dyDescent="0.35">
      <c r="A516" s="8"/>
    </row>
    <row r="517" spans="1:1" ht="15" customHeight="1" x14ac:dyDescent="0.35">
      <c r="A517" s="8"/>
    </row>
    <row r="518" spans="1:1" ht="15" customHeight="1" x14ac:dyDescent="0.35">
      <c r="A518" s="8"/>
    </row>
    <row r="519" spans="1:1" ht="15" customHeight="1" x14ac:dyDescent="0.35">
      <c r="A519" s="8"/>
    </row>
    <row r="520" spans="1:1" ht="15" customHeight="1" x14ac:dyDescent="0.35">
      <c r="A520" s="8"/>
    </row>
    <row r="521" spans="1:1" ht="15" customHeight="1" x14ac:dyDescent="0.35">
      <c r="A521" s="8"/>
    </row>
    <row r="522" spans="1:1" ht="15" customHeight="1" x14ac:dyDescent="0.35">
      <c r="A522" s="8"/>
    </row>
    <row r="523" spans="1:1" ht="15" customHeight="1" x14ac:dyDescent="0.35">
      <c r="A523" s="8"/>
    </row>
    <row r="524" spans="1:1" ht="15" customHeight="1" x14ac:dyDescent="0.35">
      <c r="A524" s="8"/>
    </row>
    <row r="525" spans="1:1" ht="15" customHeight="1" x14ac:dyDescent="0.35">
      <c r="A525" s="8"/>
    </row>
    <row r="526" spans="1:1" ht="15" customHeight="1" x14ac:dyDescent="0.35">
      <c r="A526" s="8"/>
    </row>
    <row r="527" spans="1:1" ht="15" customHeight="1" x14ac:dyDescent="0.35">
      <c r="A527" s="8"/>
    </row>
    <row r="528" spans="1:1" ht="15" customHeight="1" x14ac:dyDescent="0.35">
      <c r="A528" s="8"/>
    </row>
    <row r="529" spans="1:1" ht="15" customHeight="1" x14ac:dyDescent="0.35">
      <c r="A529" s="8"/>
    </row>
    <row r="530" spans="1:1" ht="15" customHeight="1" x14ac:dyDescent="0.35">
      <c r="A530" s="8"/>
    </row>
    <row r="531" spans="1:1" ht="15" customHeight="1" x14ac:dyDescent="0.35">
      <c r="A531" s="8"/>
    </row>
    <row r="532" spans="1:1" ht="15" customHeight="1" x14ac:dyDescent="0.35">
      <c r="A532" s="8"/>
    </row>
    <row r="533" spans="1:1" ht="15" customHeight="1" x14ac:dyDescent="0.35">
      <c r="A533" s="8"/>
    </row>
    <row r="534" spans="1:1" ht="15" customHeight="1" x14ac:dyDescent="0.35">
      <c r="A534" s="8"/>
    </row>
    <row r="535" spans="1:1" ht="15" customHeight="1" x14ac:dyDescent="0.35">
      <c r="A535" s="8"/>
    </row>
    <row r="536" spans="1:1" ht="15" customHeight="1" x14ac:dyDescent="0.35">
      <c r="A536" s="8"/>
    </row>
    <row r="537" spans="1:1" ht="15" customHeight="1" x14ac:dyDescent="0.35">
      <c r="A537" s="8"/>
    </row>
    <row r="538" spans="1:1" ht="15" customHeight="1" x14ac:dyDescent="0.35">
      <c r="A538" s="8"/>
    </row>
    <row r="539" spans="1:1" ht="15" customHeight="1" x14ac:dyDescent="0.35">
      <c r="A539" s="8"/>
    </row>
    <row r="540" spans="1:1" ht="15" customHeight="1" x14ac:dyDescent="0.35">
      <c r="A540" s="8"/>
    </row>
    <row r="541" spans="1:1" ht="15" customHeight="1" x14ac:dyDescent="0.35">
      <c r="A541" s="8"/>
    </row>
    <row r="542" spans="1:1" ht="15" customHeight="1" x14ac:dyDescent="0.35">
      <c r="A542" s="8"/>
    </row>
    <row r="543" spans="1:1" ht="15" customHeight="1" x14ac:dyDescent="0.35">
      <c r="A543" s="8"/>
    </row>
    <row r="544" spans="1:1" ht="15" customHeight="1" x14ac:dyDescent="0.35">
      <c r="A544" s="8"/>
    </row>
    <row r="545" spans="1:1" ht="15" customHeight="1" x14ac:dyDescent="0.35">
      <c r="A545" s="8"/>
    </row>
    <row r="546" spans="1:1" ht="15" customHeight="1" x14ac:dyDescent="0.35">
      <c r="A546" s="8"/>
    </row>
    <row r="547" spans="1:1" ht="15" customHeight="1" x14ac:dyDescent="0.35">
      <c r="A547" s="8"/>
    </row>
    <row r="548" spans="1:1" ht="15" customHeight="1" x14ac:dyDescent="0.35">
      <c r="A548" s="8"/>
    </row>
    <row r="549" spans="1:1" ht="15" customHeight="1" x14ac:dyDescent="0.35">
      <c r="A549" s="8"/>
    </row>
    <row r="550" spans="1:1" ht="15" customHeight="1" x14ac:dyDescent="0.35">
      <c r="A550" s="8"/>
    </row>
    <row r="551" spans="1:1" ht="15" customHeight="1" x14ac:dyDescent="0.35">
      <c r="A551" s="8"/>
    </row>
    <row r="552" spans="1:1" ht="15" customHeight="1" x14ac:dyDescent="0.35">
      <c r="A552" s="8"/>
    </row>
    <row r="553" spans="1:1" ht="15" customHeight="1" x14ac:dyDescent="0.35">
      <c r="A553" s="8"/>
    </row>
    <row r="554" spans="1:1" ht="15" customHeight="1" x14ac:dyDescent="0.35">
      <c r="A554" s="8"/>
    </row>
    <row r="555" spans="1:1" ht="15" customHeight="1" x14ac:dyDescent="0.35">
      <c r="A555" s="8"/>
    </row>
    <row r="556" spans="1:1" ht="15" customHeight="1" x14ac:dyDescent="0.35">
      <c r="A556" s="8"/>
    </row>
    <row r="557" spans="1:1" ht="15" customHeight="1" x14ac:dyDescent="0.35">
      <c r="A557" s="8"/>
    </row>
    <row r="558" spans="1:1" ht="15" customHeight="1" x14ac:dyDescent="0.35">
      <c r="A558" s="8"/>
    </row>
    <row r="559" spans="1:1" ht="15" customHeight="1" x14ac:dyDescent="0.35">
      <c r="A559" s="8"/>
    </row>
    <row r="560" spans="1:1" ht="15" customHeight="1" x14ac:dyDescent="0.35">
      <c r="A560" s="8"/>
    </row>
    <row r="561" spans="1:1" ht="15" customHeight="1" x14ac:dyDescent="0.35">
      <c r="A561" s="8"/>
    </row>
    <row r="562" spans="1:1" ht="15" customHeight="1" x14ac:dyDescent="0.35">
      <c r="A562" s="8"/>
    </row>
    <row r="563" spans="1:1" ht="15" customHeight="1" x14ac:dyDescent="0.35">
      <c r="A563" s="8"/>
    </row>
    <row r="564" spans="1:1" ht="15" customHeight="1" x14ac:dyDescent="0.35">
      <c r="A564" s="8"/>
    </row>
    <row r="565" spans="1:1" ht="15" customHeight="1" x14ac:dyDescent="0.35">
      <c r="A565" s="8"/>
    </row>
    <row r="566" spans="1:1" ht="15" customHeight="1" x14ac:dyDescent="0.35">
      <c r="A566" s="8"/>
    </row>
    <row r="567" spans="1:1" ht="15" customHeight="1" x14ac:dyDescent="0.35">
      <c r="A567" s="8"/>
    </row>
    <row r="568" spans="1:1" ht="15" customHeight="1" x14ac:dyDescent="0.35">
      <c r="A568" s="8"/>
    </row>
    <row r="569" spans="1:1" ht="15" customHeight="1" x14ac:dyDescent="0.35">
      <c r="A569" s="8"/>
    </row>
    <row r="570" spans="1:1" ht="15" customHeight="1" x14ac:dyDescent="0.35">
      <c r="A570" s="8"/>
    </row>
    <row r="571" spans="1:1" ht="15" customHeight="1" x14ac:dyDescent="0.35">
      <c r="A571" s="8"/>
    </row>
    <row r="572" spans="1:1" ht="15" customHeight="1" x14ac:dyDescent="0.35">
      <c r="A572" s="8"/>
    </row>
    <row r="573" spans="1:1" ht="15" customHeight="1" x14ac:dyDescent="0.35">
      <c r="A573" s="8"/>
    </row>
    <row r="574" spans="1:1" ht="15" customHeight="1" x14ac:dyDescent="0.35">
      <c r="A574" s="8"/>
    </row>
    <row r="575" spans="1:1" ht="15" customHeight="1" x14ac:dyDescent="0.35">
      <c r="A575" s="8"/>
    </row>
    <row r="576" spans="1:1" ht="15" customHeight="1" x14ac:dyDescent="0.35">
      <c r="A576" s="8"/>
    </row>
    <row r="577" spans="1:1" ht="15" customHeight="1" x14ac:dyDescent="0.35">
      <c r="A577" s="8"/>
    </row>
    <row r="578" spans="1:1" ht="15" customHeight="1" x14ac:dyDescent="0.35">
      <c r="A578" s="8"/>
    </row>
    <row r="579" spans="1:1" ht="15" customHeight="1" x14ac:dyDescent="0.35">
      <c r="A579" s="8"/>
    </row>
    <row r="580" spans="1:1" ht="15" customHeight="1" x14ac:dyDescent="0.35">
      <c r="A580" s="8"/>
    </row>
    <row r="581" spans="1:1" ht="15" customHeight="1" x14ac:dyDescent="0.35">
      <c r="A581" s="8"/>
    </row>
    <row r="582" spans="1:1" ht="15" customHeight="1" x14ac:dyDescent="0.35">
      <c r="A582" s="8"/>
    </row>
    <row r="583" spans="1:1" ht="15" customHeight="1" x14ac:dyDescent="0.35">
      <c r="A583" s="8"/>
    </row>
    <row r="584" spans="1:1" ht="15" customHeight="1" x14ac:dyDescent="0.35">
      <c r="A584" s="8"/>
    </row>
    <row r="585" spans="1:1" ht="15" customHeight="1" x14ac:dyDescent="0.35">
      <c r="A585" s="8"/>
    </row>
    <row r="586" spans="1:1" ht="15" customHeight="1" x14ac:dyDescent="0.35">
      <c r="A586" s="8"/>
    </row>
    <row r="587" spans="1:1" ht="15" customHeight="1" x14ac:dyDescent="0.35">
      <c r="A587" s="8"/>
    </row>
    <row r="588" spans="1:1" ht="15" customHeight="1" x14ac:dyDescent="0.35">
      <c r="A588" s="8"/>
    </row>
    <row r="589" spans="1:1" ht="15" customHeight="1" x14ac:dyDescent="0.35">
      <c r="A589" s="8"/>
    </row>
    <row r="590" spans="1:1" ht="15" customHeight="1" x14ac:dyDescent="0.35">
      <c r="A590" s="8"/>
    </row>
    <row r="591" spans="1:1" ht="15" customHeight="1" x14ac:dyDescent="0.35">
      <c r="A591" s="8"/>
    </row>
    <row r="592" spans="1:1" ht="15" customHeight="1" x14ac:dyDescent="0.35">
      <c r="A592" s="8"/>
    </row>
    <row r="593" spans="1:1" ht="15" customHeight="1" x14ac:dyDescent="0.35">
      <c r="A593" s="8"/>
    </row>
    <row r="594" spans="1:1" ht="15" customHeight="1" x14ac:dyDescent="0.35">
      <c r="A594" s="8"/>
    </row>
    <row r="595" spans="1:1" ht="15" customHeight="1" x14ac:dyDescent="0.35">
      <c r="A595" s="8"/>
    </row>
    <row r="596" spans="1:1" ht="15" customHeight="1" x14ac:dyDescent="0.35">
      <c r="A596" s="8"/>
    </row>
    <row r="597" spans="1:1" ht="15" customHeight="1" x14ac:dyDescent="0.35">
      <c r="A597" s="8"/>
    </row>
    <row r="598" spans="1:1" ht="15" customHeight="1" x14ac:dyDescent="0.35">
      <c r="A598" s="8"/>
    </row>
    <row r="599" spans="1:1" ht="15" customHeight="1" x14ac:dyDescent="0.35">
      <c r="A599" s="8"/>
    </row>
    <row r="600" spans="1:1" ht="15" customHeight="1" x14ac:dyDescent="0.35">
      <c r="A600" s="8"/>
    </row>
    <row r="601" spans="1:1" ht="15" customHeight="1" x14ac:dyDescent="0.35">
      <c r="A601" s="8"/>
    </row>
    <row r="602" spans="1:1" ht="15" customHeight="1" x14ac:dyDescent="0.35">
      <c r="A602" s="8"/>
    </row>
    <row r="603" spans="1:1" ht="15" customHeight="1" x14ac:dyDescent="0.35">
      <c r="A603" s="8"/>
    </row>
    <row r="604" spans="1:1" ht="15" customHeight="1" x14ac:dyDescent="0.35">
      <c r="A604" s="8"/>
    </row>
    <row r="605" spans="1:1" ht="15" customHeight="1" x14ac:dyDescent="0.35">
      <c r="A605" s="8"/>
    </row>
    <row r="606" spans="1:1" ht="15" customHeight="1" x14ac:dyDescent="0.35">
      <c r="A606" s="8"/>
    </row>
    <row r="607" spans="1:1" ht="15" customHeight="1" x14ac:dyDescent="0.35">
      <c r="A607" s="8"/>
    </row>
    <row r="608" spans="1:1" ht="15" customHeight="1" x14ac:dyDescent="0.35">
      <c r="A608" s="8"/>
    </row>
    <row r="609" spans="1:1" ht="15" customHeight="1" x14ac:dyDescent="0.35">
      <c r="A609" s="8"/>
    </row>
    <row r="610" spans="1:1" ht="15" customHeight="1" x14ac:dyDescent="0.35">
      <c r="A610" s="8"/>
    </row>
    <row r="611" spans="1:1" ht="15" customHeight="1" x14ac:dyDescent="0.35">
      <c r="A611" s="8"/>
    </row>
    <row r="612" spans="1:1" ht="15" customHeight="1" x14ac:dyDescent="0.35">
      <c r="A612" s="8"/>
    </row>
    <row r="613" spans="1:1" ht="15" customHeight="1" x14ac:dyDescent="0.35">
      <c r="A613" s="8"/>
    </row>
    <row r="614" spans="1:1" ht="15" customHeight="1" x14ac:dyDescent="0.35">
      <c r="A614" s="8"/>
    </row>
    <row r="615" spans="1:1" ht="15" customHeight="1" x14ac:dyDescent="0.35">
      <c r="A615" s="8"/>
    </row>
    <row r="616" spans="1:1" ht="15" customHeight="1" x14ac:dyDescent="0.35">
      <c r="A616" s="8"/>
    </row>
    <row r="617" spans="1:1" ht="15" customHeight="1" x14ac:dyDescent="0.35">
      <c r="A617" s="8"/>
    </row>
    <row r="618" spans="1:1" ht="15" customHeight="1" x14ac:dyDescent="0.35">
      <c r="A618" s="8"/>
    </row>
    <row r="619" spans="1:1" ht="15" customHeight="1" x14ac:dyDescent="0.35">
      <c r="A619" s="8"/>
    </row>
    <row r="620" spans="1:1" ht="15" customHeight="1" x14ac:dyDescent="0.35">
      <c r="A620" s="8"/>
    </row>
    <row r="621" spans="1:1" ht="15" customHeight="1" x14ac:dyDescent="0.35">
      <c r="A621" s="8"/>
    </row>
    <row r="622" spans="1:1" ht="15" customHeight="1" x14ac:dyDescent="0.35">
      <c r="A622" s="8"/>
    </row>
    <row r="623" spans="1:1" ht="15" customHeight="1" x14ac:dyDescent="0.35">
      <c r="A623" s="8"/>
    </row>
    <row r="624" spans="1:1" ht="15" customHeight="1" x14ac:dyDescent="0.35">
      <c r="A624" s="8"/>
    </row>
    <row r="625" spans="1:1" ht="15" customHeight="1" x14ac:dyDescent="0.35">
      <c r="A625" s="8"/>
    </row>
    <row r="626" spans="1:1" ht="15" customHeight="1" x14ac:dyDescent="0.35">
      <c r="A626" s="8"/>
    </row>
    <row r="627" spans="1:1" ht="15" customHeight="1" x14ac:dyDescent="0.35">
      <c r="A627" s="8"/>
    </row>
    <row r="628" spans="1:1" ht="15" customHeight="1" x14ac:dyDescent="0.35">
      <c r="A628" s="8"/>
    </row>
    <row r="629" spans="1:1" ht="15" customHeight="1" x14ac:dyDescent="0.35">
      <c r="A629" s="8"/>
    </row>
    <row r="630" spans="1:1" ht="15" customHeight="1" x14ac:dyDescent="0.35">
      <c r="A630" s="8"/>
    </row>
    <row r="631" spans="1:1" ht="15" customHeight="1" x14ac:dyDescent="0.35">
      <c r="A631" s="8"/>
    </row>
    <row r="632" spans="1:1" ht="15" customHeight="1" x14ac:dyDescent="0.35">
      <c r="A632" s="8"/>
    </row>
    <row r="633" spans="1:1" ht="15" customHeight="1" x14ac:dyDescent="0.35">
      <c r="A633" s="8"/>
    </row>
    <row r="634" spans="1:1" ht="15" customHeight="1" x14ac:dyDescent="0.35">
      <c r="A634" s="8"/>
    </row>
    <row r="635" spans="1:1" ht="15" customHeight="1" x14ac:dyDescent="0.35">
      <c r="A635" s="8"/>
    </row>
    <row r="636" spans="1:1" ht="15" customHeight="1" x14ac:dyDescent="0.35">
      <c r="A636" s="8"/>
    </row>
    <row r="637" spans="1:1" ht="15" customHeight="1" x14ac:dyDescent="0.35">
      <c r="A637" s="8"/>
    </row>
    <row r="638" spans="1:1" ht="15" customHeight="1" x14ac:dyDescent="0.35">
      <c r="A638" s="8"/>
    </row>
    <row r="639" spans="1:1" ht="15" customHeight="1" x14ac:dyDescent="0.35">
      <c r="A639" s="8"/>
    </row>
    <row r="640" spans="1:1" ht="15" customHeight="1" x14ac:dyDescent="0.35">
      <c r="A640" s="8"/>
    </row>
    <row r="641" spans="1:1" ht="15" customHeight="1" x14ac:dyDescent="0.35">
      <c r="A641" s="8"/>
    </row>
    <row r="642" spans="1:1" ht="15" customHeight="1" x14ac:dyDescent="0.35">
      <c r="A642" s="8"/>
    </row>
    <row r="643" spans="1:1" ht="15" customHeight="1" x14ac:dyDescent="0.35">
      <c r="A643" s="8"/>
    </row>
    <row r="644" spans="1:1" ht="15" customHeight="1" x14ac:dyDescent="0.35">
      <c r="A644" s="8"/>
    </row>
    <row r="645" spans="1:1" ht="15" customHeight="1" x14ac:dyDescent="0.35">
      <c r="A645" s="8"/>
    </row>
    <row r="646" spans="1:1" ht="15" customHeight="1" x14ac:dyDescent="0.35">
      <c r="A646" s="8"/>
    </row>
    <row r="647" spans="1:1" ht="15" customHeight="1" x14ac:dyDescent="0.35">
      <c r="A647" s="8"/>
    </row>
    <row r="648" spans="1:1" ht="15" customHeight="1" x14ac:dyDescent="0.35">
      <c r="A648" s="8"/>
    </row>
    <row r="649" spans="1:1" ht="15" customHeight="1" x14ac:dyDescent="0.35">
      <c r="A649" s="8"/>
    </row>
    <row r="650" spans="1:1" ht="15" customHeight="1" x14ac:dyDescent="0.35">
      <c r="A650" s="8"/>
    </row>
    <row r="651" spans="1:1" ht="15" customHeight="1" x14ac:dyDescent="0.35">
      <c r="A651" s="8"/>
    </row>
    <row r="652" spans="1:1" ht="15" customHeight="1" x14ac:dyDescent="0.35">
      <c r="A652" s="8"/>
    </row>
    <row r="653" spans="1:1" ht="15" customHeight="1" x14ac:dyDescent="0.35">
      <c r="A653" s="8"/>
    </row>
    <row r="654" spans="1:1" ht="15" customHeight="1" x14ac:dyDescent="0.35">
      <c r="A654" s="8"/>
    </row>
    <row r="655" spans="1:1" ht="15" customHeight="1" x14ac:dyDescent="0.35">
      <c r="A655" s="8"/>
    </row>
    <row r="656" spans="1:1" ht="15" customHeight="1" x14ac:dyDescent="0.35">
      <c r="A656" s="8"/>
    </row>
    <row r="657" spans="1:1" ht="15" customHeight="1" x14ac:dyDescent="0.35">
      <c r="A657" s="8"/>
    </row>
    <row r="658" spans="1:1" ht="15" customHeight="1" x14ac:dyDescent="0.35">
      <c r="A658" s="8"/>
    </row>
    <row r="659" spans="1:1" ht="15" customHeight="1" x14ac:dyDescent="0.35">
      <c r="A659" s="8"/>
    </row>
    <row r="660" spans="1:1" ht="15" customHeight="1" x14ac:dyDescent="0.35">
      <c r="A660" s="8"/>
    </row>
    <row r="661" spans="1:1" ht="15" customHeight="1" x14ac:dyDescent="0.35">
      <c r="A661" s="8"/>
    </row>
    <row r="662" spans="1:1" ht="15" customHeight="1" x14ac:dyDescent="0.35">
      <c r="A662" s="8"/>
    </row>
    <row r="663" spans="1:1" ht="15" customHeight="1" x14ac:dyDescent="0.35">
      <c r="A663" s="8"/>
    </row>
    <row r="664" spans="1:1" ht="15" customHeight="1" x14ac:dyDescent="0.35">
      <c r="A664" s="8"/>
    </row>
    <row r="665" spans="1:1" ht="15" customHeight="1" x14ac:dyDescent="0.35">
      <c r="A665" s="8"/>
    </row>
    <row r="666" spans="1:1" ht="15" customHeight="1" x14ac:dyDescent="0.35">
      <c r="A666" s="8"/>
    </row>
    <row r="667" spans="1:1" ht="15" customHeight="1" x14ac:dyDescent="0.35">
      <c r="A667" s="8"/>
    </row>
    <row r="668" spans="1:1" ht="15" customHeight="1" x14ac:dyDescent="0.35">
      <c r="A668" s="8"/>
    </row>
    <row r="669" spans="1:1" ht="15" customHeight="1" x14ac:dyDescent="0.35">
      <c r="A669" s="8"/>
    </row>
    <row r="670" spans="1:1" ht="15" customHeight="1" x14ac:dyDescent="0.35">
      <c r="A670" s="8"/>
    </row>
    <row r="671" spans="1:1" ht="15" customHeight="1" x14ac:dyDescent="0.35">
      <c r="A671" s="8"/>
    </row>
    <row r="672" spans="1:1" ht="15" customHeight="1" x14ac:dyDescent="0.35">
      <c r="A672" s="8"/>
    </row>
    <row r="673" spans="1:1" ht="15" customHeight="1" x14ac:dyDescent="0.35">
      <c r="A673" s="8"/>
    </row>
    <row r="674" spans="1:1" ht="15" customHeight="1" x14ac:dyDescent="0.35">
      <c r="A674" s="8"/>
    </row>
    <row r="675" spans="1:1" ht="15" customHeight="1" x14ac:dyDescent="0.35">
      <c r="A675" s="8"/>
    </row>
    <row r="676" spans="1:1" ht="15" customHeight="1" x14ac:dyDescent="0.35">
      <c r="A676" s="8"/>
    </row>
    <row r="677" spans="1:1" ht="15" customHeight="1" x14ac:dyDescent="0.35">
      <c r="A677" s="8"/>
    </row>
    <row r="678" spans="1:1" ht="15" customHeight="1" x14ac:dyDescent="0.35">
      <c r="A678" s="8"/>
    </row>
    <row r="679" spans="1:1" ht="15" customHeight="1" x14ac:dyDescent="0.35">
      <c r="A679" s="8"/>
    </row>
    <row r="680" spans="1:1" ht="15" customHeight="1" x14ac:dyDescent="0.35">
      <c r="A680" s="8"/>
    </row>
    <row r="681" spans="1:1" ht="15" customHeight="1" x14ac:dyDescent="0.35">
      <c r="A681" s="8"/>
    </row>
    <row r="682" spans="1:1" ht="15" customHeight="1" x14ac:dyDescent="0.35">
      <c r="A682" s="8"/>
    </row>
    <row r="683" spans="1:1" ht="15" customHeight="1" x14ac:dyDescent="0.35">
      <c r="A683" s="8"/>
    </row>
    <row r="684" spans="1:1" ht="15" customHeight="1" x14ac:dyDescent="0.35">
      <c r="A684" s="8"/>
    </row>
    <row r="685" spans="1:1" ht="15" customHeight="1" x14ac:dyDescent="0.35">
      <c r="A685" s="8"/>
    </row>
    <row r="686" spans="1:1" ht="15" customHeight="1" x14ac:dyDescent="0.35">
      <c r="A686" s="8"/>
    </row>
    <row r="687" spans="1:1" ht="15" customHeight="1" x14ac:dyDescent="0.35">
      <c r="A687" s="8"/>
    </row>
    <row r="688" spans="1:1" ht="15" customHeight="1" x14ac:dyDescent="0.35">
      <c r="A688" s="8"/>
    </row>
    <row r="689" spans="1:1" ht="15" customHeight="1" x14ac:dyDescent="0.35">
      <c r="A689" s="8"/>
    </row>
    <row r="690" spans="1:1" ht="15" customHeight="1" x14ac:dyDescent="0.35">
      <c r="A690" s="8"/>
    </row>
    <row r="691" spans="1:1" ht="15" customHeight="1" x14ac:dyDescent="0.35">
      <c r="A691" s="8"/>
    </row>
    <row r="692" spans="1:1" ht="15" customHeight="1" x14ac:dyDescent="0.35">
      <c r="A692" s="8"/>
    </row>
    <row r="693" spans="1:1" ht="15" customHeight="1" x14ac:dyDescent="0.35">
      <c r="A693" s="8"/>
    </row>
    <row r="694" spans="1:1" ht="15" customHeight="1" x14ac:dyDescent="0.35">
      <c r="A694" s="8"/>
    </row>
    <row r="695" spans="1:1" ht="15" customHeight="1" x14ac:dyDescent="0.35">
      <c r="A695" s="8"/>
    </row>
    <row r="696" spans="1:1" ht="15" customHeight="1" x14ac:dyDescent="0.35">
      <c r="A696" s="8"/>
    </row>
    <row r="697" spans="1:1" ht="15" customHeight="1" x14ac:dyDescent="0.35">
      <c r="A697" s="8"/>
    </row>
    <row r="698" spans="1:1" ht="15" customHeight="1" x14ac:dyDescent="0.35">
      <c r="A698" s="8"/>
    </row>
    <row r="699" spans="1:1" ht="15" customHeight="1" x14ac:dyDescent="0.35">
      <c r="A699" s="8"/>
    </row>
    <row r="700" spans="1:1" ht="15" customHeight="1" x14ac:dyDescent="0.35">
      <c r="A700" s="8"/>
    </row>
    <row r="701" spans="1:1" ht="15" customHeight="1" x14ac:dyDescent="0.35">
      <c r="A701" s="8"/>
    </row>
    <row r="702" spans="1:1" ht="15" customHeight="1" x14ac:dyDescent="0.35">
      <c r="A702" s="8"/>
    </row>
    <row r="703" spans="1:1" ht="15" customHeight="1" x14ac:dyDescent="0.35">
      <c r="A703" s="8"/>
    </row>
    <row r="704" spans="1:1" ht="15" customHeight="1" x14ac:dyDescent="0.35">
      <c r="A704" s="8"/>
    </row>
    <row r="705" spans="1:1" ht="15" customHeight="1" x14ac:dyDescent="0.35">
      <c r="A705" s="8"/>
    </row>
    <row r="706" spans="1:1" ht="15" customHeight="1" x14ac:dyDescent="0.35">
      <c r="A706" s="8"/>
    </row>
    <row r="707" spans="1:1" ht="15" customHeight="1" x14ac:dyDescent="0.35">
      <c r="A707" s="8"/>
    </row>
    <row r="708" spans="1:1" ht="15" customHeight="1" x14ac:dyDescent="0.35">
      <c r="A708" s="8"/>
    </row>
    <row r="709" spans="1:1" ht="15" customHeight="1" x14ac:dyDescent="0.35">
      <c r="A709" s="8"/>
    </row>
    <row r="710" spans="1:1" ht="15" customHeight="1" x14ac:dyDescent="0.35">
      <c r="A710" s="8"/>
    </row>
    <row r="711" spans="1:1" ht="15" customHeight="1" x14ac:dyDescent="0.35">
      <c r="A711" s="8"/>
    </row>
    <row r="712" spans="1:1" ht="15" customHeight="1" x14ac:dyDescent="0.35">
      <c r="A712" s="8"/>
    </row>
    <row r="713" spans="1:1" ht="15" customHeight="1" x14ac:dyDescent="0.35">
      <c r="A713" s="8"/>
    </row>
    <row r="714" spans="1:1" ht="15" customHeight="1" x14ac:dyDescent="0.35">
      <c r="A714" s="8"/>
    </row>
    <row r="715" spans="1:1" ht="15" customHeight="1" x14ac:dyDescent="0.35">
      <c r="A715" s="8"/>
    </row>
    <row r="716" spans="1:1" ht="15" customHeight="1" x14ac:dyDescent="0.35">
      <c r="A716" s="8"/>
    </row>
    <row r="717" spans="1:1" ht="15" customHeight="1" x14ac:dyDescent="0.35">
      <c r="A717" s="8"/>
    </row>
    <row r="718" spans="1:1" ht="15" customHeight="1" x14ac:dyDescent="0.35">
      <c r="A718" s="8"/>
    </row>
    <row r="719" spans="1:1" ht="15" customHeight="1" x14ac:dyDescent="0.35">
      <c r="A719" s="8"/>
    </row>
    <row r="720" spans="1:1" ht="15" customHeight="1" x14ac:dyDescent="0.35">
      <c r="A720" s="8"/>
    </row>
    <row r="721" spans="1:1" ht="15" customHeight="1" x14ac:dyDescent="0.35">
      <c r="A721" s="8"/>
    </row>
    <row r="722" spans="1:1" ht="15" customHeight="1" x14ac:dyDescent="0.35">
      <c r="A722" s="8"/>
    </row>
    <row r="723" spans="1:1" ht="15" customHeight="1" x14ac:dyDescent="0.35">
      <c r="A723" s="8"/>
    </row>
    <row r="724" spans="1:1" ht="15" customHeight="1" x14ac:dyDescent="0.35">
      <c r="A724" s="8"/>
    </row>
    <row r="725" spans="1:1" ht="15" customHeight="1" x14ac:dyDescent="0.35">
      <c r="A725" s="8"/>
    </row>
    <row r="726" spans="1:1" ht="15" customHeight="1" x14ac:dyDescent="0.35">
      <c r="A726" s="8"/>
    </row>
    <row r="727" spans="1:1" ht="15" customHeight="1" x14ac:dyDescent="0.35">
      <c r="A727" s="8"/>
    </row>
    <row r="728" spans="1:1" ht="15" customHeight="1" x14ac:dyDescent="0.35">
      <c r="A728" s="8"/>
    </row>
    <row r="729" spans="1:1" ht="15" customHeight="1" x14ac:dyDescent="0.35">
      <c r="A729" s="8"/>
    </row>
    <row r="730" spans="1:1" ht="15" customHeight="1" x14ac:dyDescent="0.35">
      <c r="A730" s="8"/>
    </row>
    <row r="731" spans="1:1" ht="15" customHeight="1" x14ac:dyDescent="0.35">
      <c r="A731" s="8"/>
    </row>
    <row r="732" spans="1:1" ht="15" customHeight="1" x14ac:dyDescent="0.35">
      <c r="A732" s="8"/>
    </row>
    <row r="733" spans="1:1" ht="15" customHeight="1" x14ac:dyDescent="0.35">
      <c r="A733" s="8"/>
    </row>
    <row r="734" spans="1:1" ht="15" customHeight="1" x14ac:dyDescent="0.35">
      <c r="A734" s="8"/>
    </row>
    <row r="735" spans="1:1" ht="15" customHeight="1" x14ac:dyDescent="0.35">
      <c r="A735" s="8"/>
    </row>
    <row r="736" spans="1:1" ht="15" customHeight="1" x14ac:dyDescent="0.35">
      <c r="A736" s="8"/>
    </row>
    <row r="737" spans="1:1" ht="15" customHeight="1" x14ac:dyDescent="0.35">
      <c r="A737" s="8"/>
    </row>
    <row r="738" spans="1:1" ht="15" customHeight="1" x14ac:dyDescent="0.35">
      <c r="A738" s="8"/>
    </row>
    <row r="739" spans="1:1" ht="15" customHeight="1" x14ac:dyDescent="0.35">
      <c r="A739" s="8"/>
    </row>
    <row r="740" spans="1:1" ht="15" customHeight="1" x14ac:dyDescent="0.35">
      <c r="A740" s="8"/>
    </row>
    <row r="741" spans="1:1" ht="15" customHeight="1" x14ac:dyDescent="0.35">
      <c r="A741" s="8"/>
    </row>
    <row r="742" spans="1:1" ht="15" customHeight="1" x14ac:dyDescent="0.35">
      <c r="A742" s="8"/>
    </row>
    <row r="743" spans="1:1" ht="15" customHeight="1" x14ac:dyDescent="0.35">
      <c r="A743" s="8"/>
    </row>
    <row r="744" spans="1:1" ht="15" customHeight="1" x14ac:dyDescent="0.35">
      <c r="A744" s="8"/>
    </row>
    <row r="745" spans="1:1" ht="15" customHeight="1" x14ac:dyDescent="0.35">
      <c r="A745" s="8"/>
    </row>
    <row r="746" spans="1:1" ht="15" customHeight="1" x14ac:dyDescent="0.35">
      <c r="A746" s="8"/>
    </row>
    <row r="747" spans="1:1" ht="15" customHeight="1" x14ac:dyDescent="0.35">
      <c r="A747" s="8"/>
    </row>
    <row r="748" spans="1:1" ht="15" customHeight="1" x14ac:dyDescent="0.35">
      <c r="A748" s="8"/>
    </row>
    <row r="749" spans="1:1" ht="15" customHeight="1" x14ac:dyDescent="0.35">
      <c r="A749" s="8"/>
    </row>
    <row r="750" spans="1:1" ht="15" customHeight="1" x14ac:dyDescent="0.35">
      <c r="A750" s="8"/>
    </row>
    <row r="751" spans="1:1" ht="15" customHeight="1" x14ac:dyDescent="0.35">
      <c r="A751" s="8"/>
    </row>
    <row r="752" spans="1:1" ht="15" customHeight="1" x14ac:dyDescent="0.35">
      <c r="A752" s="8"/>
    </row>
    <row r="753" spans="1:1" ht="15" customHeight="1" x14ac:dyDescent="0.35">
      <c r="A753" s="8"/>
    </row>
    <row r="754" spans="1:1" ht="15" customHeight="1" x14ac:dyDescent="0.35">
      <c r="A754" s="8"/>
    </row>
    <row r="755" spans="1:1" ht="15" customHeight="1" x14ac:dyDescent="0.35">
      <c r="A755" s="8"/>
    </row>
    <row r="756" spans="1:1" ht="15" customHeight="1" x14ac:dyDescent="0.35">
      <c r="A756" s="8"/>
    </row>
    <row r="757" spans="1:1" ht="15" customHeight="1" x14ac:dyDescent="0.35">
      <c r="A757" s="8"/>
    </row>
    <row r="758" spans="1:1" ht="15" customHeight="1" x14ac:dyDescent="0.35">
      <c r="A758" s="8"/>
    </row>
    <row r="759" spans="1:1" ht="15" customHeight="1" x14ac:dyDescent="0.35">
      <c r="A759" s="8"/>
    </row>
    <row r="760" spans="1:1" ht="15" customHeight="1" x14ac:dyDescent="0.35">
      <c r="A760" s="8"/>
    </row>
    <row r="761" spans="1:1" ht="15" customHeight="1" x14ac:dyDescent="0.35">
      <c r="A761" s="8"/>
    </row>
    <row r="762" spans="1:1" ht="15" customHeight="1" x14ac:dyDescent="0.35">
      <c r="A762" s="8"/>
    </row>
    <row r="763" spans="1:1" ht="15" customHeight="1" x14ac:dyDescent="0.35">
      <c r="A763" s="8"/>
    </row>
    <row r="764" spans="1:1" ht="15" customHeight="1" x14ac:dyDescent="0.35">
      <c r="A764" s="8"/>
    </row>
    <row r="765" spans="1:1" ht="15" customHeight="1" x14ac:dyDescent="0.35">
      <c r="A765" s="8"/>
    </row>
    <row r="766" spans="1:1" ht="15" customHeight="1" x14ac:dyDescent="0.35">
      <c r="A766" s="8"/>
    </row>
    <row r="767" spans="1:1" ht="15" customHeight="1" x14ac:dyDescent="0.35">
      <c r="A767" s="8"/>
    </row>
    <row r="768" spans="1:1" ht="15" customHeight="1" x14ac:dyDescent="0.35">
      <c r="A768" s="8"/>
    </row>
    <row r="769" spans="1:1" ht="15" customHeight="1" x14ac:dyDescent="0.35">
      <c r="A769" s="8"/>
    </row>
    <row r="770" spans="1:1" ht="15" customHeight="1" x14ac:dyDescent="0.35">
      <c r="A770" s="8"/>
    </row>
    <row r="771" spans="1:1" ht="15" customHeight="1" x14ac:dyDescent="0.35">
      <c r="A771" s="8"/>
    </row>
    <row r="772" spans="1:1" ht="15" customHeight="1" x14ac:dyDescent="0.35">
      <c r="A772" s="8"/>
    </row>
    <row r="773" spans="1:1" ht="15" customHeight="1" x14ac:dyDescent="0.35">
      <c r="A773" s="8"/>
    </row>
    <row r="774" spans="1:1" ht="15" customHeight="1" x14ac:dyDescent="0.35">
      <c r="A774" s="8"/>
    </row>
    <row r="775" spans="1:1" ht="15" customHeight="1" x14ac:dyDescent="0.35">
      <c r="A775" s="8"/>
    </row>
    <row r="776" spans="1:1" ht="15" customHeight="1" x14ac:dyDescent="0.35">
      <c r="A776" s="8"/>
    </row>
    <row r="777" spans="1:1" ht="15" customHeight="1" x14ac:dyDescent="0.35">
      <c r="A777" s="8"/>
    </row>
    <row r="778" spans="1:1" ht="15" customHeight="1" x14ac:dyDescent="0.35">
      <c r="A778" s="8"/>
    </row>
    <row r="779" spans="1:1" ht="15" customHeight="1" x14ac:dyDescent="0.35">
      <c r="A779" s="8"/>
    </row>
    <row r="780" spans="1:1" ht="15" customHeight="1" x14ac:dyDescent="0.35">
      <c r="A780" s="8"/>
    </row>
    <row r="781" spans="1:1" ht="15" customHeight="1" x14ac:dyDescent="0.35">
      <c r="A781" s="8"/>
    </row>
    <row r="782" spans="1:1" ht="15" customHeight="1" x14ac:dyDescent="0.35">
      <c r="A782" s="8"/>
    </row>
    <row r="783" spans="1:1" ht="15" customHeight="1" x14ac:dyDescent="0.35">
      <c r="A783" s="8"/>
    </row>
    <row r="784" spans="1:1" ht="15" customHeight="1" x14ac:dyDescent="0.35">
      <c r="A784" s="8"/>
    </row>
    <row r="785" spans="1:1" ht="15" customHeight="1" x14ac:dyDescent="0.35">
      <c r="A785" s="8"/>
    </row>
    <row r="786" spans="1:1" ht="15" customHeight="1" x14ac:dyDescent="0.35">
      <c r="A786" s="8"/>
    </row>
    <row r="787" spans="1:1" ht="15" customHeight="1" x14ac:dyDescent="0.35">
      <c r="A787" s="8"/>
    </row>
    <row r="788" spans="1:1" ht="15" customHeight="1" x14ac:dyDescent="0.35">
      <c r="A788" s="8"/>
    </row>
    <row r="789" spans="1:1" ht="15" customHeight="1" x14ac:dyDescent="0.35">
      <c r="A789" s="8"/>
    </row>
    <row r="790" spans="1:1" ht="15" customHeight="1" x14ac:dyDescent="0.35">
      <c r="A790" s="8"/>
    </row>
    <row r="791" spans="1:1" ht="15" customHeight="1" x14ac:dyDescent="0.35">
      <c r="A791" s="8"/>
    </row>
    <row r="792" spans="1:1" ht="15" customHeight="1" x14ac:dyDescent="0.35">
      <c r="A792" s="8"/>
    </row>
    <row r="793" spans="1:1" ht="15" customHeight="1" x14ac:dyDescent="0.35">
      <c r="A793" s="8"/>
    </row>
    <row r="794" spans="1:1" ht="15" customHeight="1" x14ac:dyDescent="0.35">
      <c r="A794" s="8"/>
    </row>
    <row r="795" spans="1:1" ht="15" customHeight="1" x14ac:dyDescent="0.35">
      <c r="A795" s="8"/>
    </row>
    <row r="796" spans="1:1" ht="15" customHeight="1" x14ac:dyDescent="0.35">
      <c r="A796" s="8"/>
    </row>
    <row r="797" spans="1:1" ht="15" customHeight="1" x14ac:dyDescent="0.35">
      <c r="A797" s="8"/>
    </row>
    <row r="798" spans="1:1" ht="15" customHeight="1" x14ac:dyDescent="0.35">
      <c r="A798" s="8"/>
    </row>
    <row r="799" spans="1:1" ht="15" customHeight="1" x14ac:dyDescent="0.35">
      <c r="A799" s="8"/>
    </row>
    <row r="800" spans="1:1" ht="15" customHeight="1" x14ac:dyDescent="0.35">
      <c r="A800" s="8"/>
    </row>
    <row r="801" spans="1:1" ht="15" customHeight="1" x14ac:dyDescent="0.35">
      <c r="A801" s="8"/>
    </row>
    <row r="802" spans="1:1" ht="15" customHeight="1" x14ac:dyDescent="0.35">
      <c r="A802" s="8"/>
    </row>
    <row r="803" spans="1:1" ht="15" customHeight="1" x14ac:dyDescent="0.35">
      <c r="A803" s="8"/>
    </row>
    <row r="804" spans="1:1" ht="15" customHeight="1" x14ac:dyDescent="0.35">
      <c r="A804" s="8"/>
    </row>
    <row r="805" spans="1:1" ht="15" customHeight="1" x14ac:dyDescent="0.35">
      <c r="A805" s="8"/>
    </row>
    <row r="806" spans="1:1" ht="15" customHeight="1" x14ac:dyDescent="0.35">
      <c r="A806" s="8"/>
    </row>
    <row r="807" spans="1:1" ht="15" customHeight="1" x14ac:dyDescent="0.35">
      <c r="A807" s="8"/>
    </row>
    <row r="808" spans="1:1" ht="15" customHeight="1" x14ac:dyDescent="0.35">
      <c r="A808" s="8"/>
    </row>
    <row r="809" spans="1:1" ht="15" customHeight="1" x14ac:dyDescent="0.35">
      <c r="A809" s="8"/>
    </row>
    <row r="810" spans="1:1" ht="15" customHeight="1" x14ac:dyDescent="0.35">
      <c r="A810" s="8"/>
    </row>
    <row r="811" spans="1:1" ht="15" customHeight="1" x14ac:dyDescent="0.35">
      <c r="A811" s="8"/>
    </row>
    <row r="812" spans="1:1" ht="15" customHeight="1" x14ac:dyDescent="0.35">
      <c r="A812" s="8"/>
    </row>
    <row r="813" spans="1:1" ht="15" customHeight="1" x14ac:dyDescent="0.35">
      <c r="A813" s="8"/>
    </row>
    <row r="814" spans="1:1" ht="15" customHeight="1" x14ac:dyDescent="0.35">
      <c r="A814" s="8"/>
    </row>
    <row r="815" spans="1:1" ht="15" customHeight="1" x14ac:dyDescent="0.35">
      <c r="A815" s="8"/>
    </row>
    <row r="816" spans="1:1" ht="15" customHeight="1" x14ac:dyDescent="0.35">
      <c r="A816" s="8"/>
    </row>
    <row r="817" spans="1:1" ht="15" customHeight="1" x14ac:dyDescent="0.35">
      <c r="A817" s="8"/>
    </row>
    <row r="818" spans="1:1" ht="15" customHeight="1" x14ac:dyDescent="0.35">
      <c r="A818" s="8"/>
    </row>
    <row r="819" spans="1:1" ht="15" customHeight="1" x14ac:dyDescent="0.35">
      <c r="A819" s="8"/>
    </row>
    <row r="820" spans="1:1" ht="15" customHeight="1" x14ac:dyDescent="0.35">
      <c r="A820" s="8"/>
    </row>
    <row r="821" spans="1:1" ht="15" customHeight="1" x14ac:dyDescent="0.35">
      <c r="A821" s="8"/>
    </row>
    <row r="822" spans="1:1" ht="15" customHeight="1" x14ac:dyDescent="0.35">
      <c r="A822" s="8"/>
    </row>
    <row r="823" spans="1:1" ht="15" customHeight="1" x14ac:dyDescent="0.35">
      <c r="A823" s="8"/>
    </row>
    <row r="824" spans="1:1" ht="15" customHeight="1" x14ac:dyDescent="0.35">
      <c r="A824" s="8"/>
    </row>
    <row r="825" spans="1:1" ht="15" customHeight="1" x14ac:dyDescent="0.35">
      <c r="A825" s="8"/>
    </row>
    <row r="826" spans="1:1" ht="15" customHeight="1" x14ac:dyDescent="0.35">
      <c r="A826" s="8"/>
    </row>
    <row r="827" spans="1:1" ht="15" customHeight="1" x14ac:dyDescent="0.35">
      <c r="A827" s="8"/>
    </row>
    <row r="828" spans="1:1" ht="15" customHeight="1" x14ac:dyDescent="0.35">
      <c r="A828" s="8"/>
    </row>
    <row r="829" spans="1:1" ht="15" customHeight="1" x14ac:dyDescent="0.35">
      <c r="A829" s="8"/>
    </row>
    <row r="830" spans="1:1" ht="15" customHeight="1" x14ac:dyDescent="0.35">
      <c r="A830" s="8"/>
    </row>
    <row r="831" spans="1:1" ht="15" customHeight="1" x14ac:dyDescent="0.35">
      <c r="A831" s="8"/>
    </row>
    <row r="832" spans="1:1" ht="15" customHeight="1" x14ac:dyDescent="0.35">
      <c r="A832" s="8"/>
    </row>
    <row r="833" spans="1:1" ht="15" customHeight="1" x14ac:dyDescent="0.35">
      <c r="A833" s="8"/>
    </row>
    <row r="834" spans="1:1" ht="15" customHeight="1" x14ac:dyDescent="0.35">
      <c r="A834" s="8"/>
    </row>
    <row r="835" spans="1:1" ht="15" customHeight="1" x14ac:dyDescent="0.35">
      <c r="A835" s="8"/>
    </row>
    <row r="836" spans="1:1" ht="15" customHeight="1" x14ac:dyDescent="0.35">
      <c r="A836" s="8"/>
    </row>
    <row r="837" spans="1:1" ht="15" customHeight="1" x14ac:dyDescent="0.35">
      <c r="A837" s="8"/>
    </row>
    <row r="838" spans="1:1" ht="15" customHeight="1" x14ac:dyDescent="0.35">
      <c r="A838" s="8"/>
    </row>
    <row r="839" spans="1:1" ht="15" customHeight="1" x14ac:dyDescent="0.35">
      <c r="A839" s="8"/>
    </row>
    <row r="840" spans="1:1" ht="15" customHeight="1" x14ac:dyDescent="0.35">
      <c r="A840" s="8"/>
    </row>
    <row r="841" spans="1:1" ht="15" customHeight="1" x14ac:dyDescent="0.35">
      <c r="A841" s="8"/>
    </row>
    <row r="842" spans="1:1" ht="15" customHeight="1" x14ac:dyDescent="0.35">
      <c r="A842" s="8"/>
    </row>
    <row r="843" spans="1:1" ht="15" customHeight="1" x14ac:dyDescent="0.35">
      <c r="A843" s="8"/>
    </row>
    <row r="844" spans="1:1" ht="15" customHeight="1" x14ac:dyDescent="0.35">
      <c r="A844" s="8"/>
    </row>
    <row r="845" spans="1:1" ht="15" customHeight="1" x14ac:dyDescent="0.35">
      <c r="A845" s="8"/>
    </row>
    <row r="846" spans="1:1" ht="15" customHeight="1" x14ac:dyDescent="0.35">
      <c r="A846" s="8"/>
    </row>
    <row r="847" spans="1:1" ht="15" customHeight="1" x14ac:dyDescent="0.35">
      <c r="A847" s="8"/>
    </row>
    <row r="848" spans="1:1" ht="15" customHeight="1" x14ac:dyDescent="0.35">
      <c r="A848" s="8"/>
    </row>
    <row r="849" spans="1:1" ht="15" customHeight="1" x14ac:dyDescent="0.35">
      <c r="A849" s="8"/>
    </row>
    <row r="850" spans="1:1" ht="15" customHeight="1" x14ac:dyDescent="0.35">
      <c r="A850" s="8"/>
    </row>
    <row r="851" spans="1:1" ht="15" customHeight="1" x14ac:dyDescent="0.35">
      <c r="A851" s="8"/>
    </row>
    <row r="852" spans="1:1" ht="15" customHeight="1" x14ac:dyDescent="0.35">
      <c r="A852" s="8"/>
    </row>
    <row r="853" spans="1:1" ht="15" customHeight="1" x14ac:dyDescent="0.35">
      <c r="A853" s="8"/>
    </row>
    <row r="854" spans="1:1" ht="15" customHeight="1" x14ac:dyDescent="0.35">
      <c r="A854" s="8"/>
    </row>
    <row r="855" spans="1:1" ht="15" customHeight="1" x14ac:dyDescent="0.35">
      <c r="A855" s="8"/>
    </row>
    <row r="856" spans="1:1" ht="15" customHeight="1" x14ac:dyDescent="0.35">
      <c r="A856" s="8"/>
    </row>
    <row r="857" spans="1:1" ht="15" customHeight="1" x14ac:dyDescent="0.35">
      <c r="A857" s="8"/>
    </row>
    <row r="858" spans="1:1" ht="15" customHeight="1" x14ac:dyDescent="0.35">
      <c r="A858" s="8"/>
    </row>
    <row r="859" spans="1:1" ht="15" customHeight="1" x14ac:dyDescent="0.35">
      <c r="A859" s="8"/>
    </row>
    <row r="860" spans="1:1" ht="15" customHeight="1" x14ac:dyDescent="0.35">
      <c r="A860" s="8"/>
    </row>
    <row r="861" spans="1:1" ht="15" customHeight="1" x14ac:dyDescent="0.35">
      <c r="A861" s="8"/>
    </row>
    <row r="862" spans="1:1" ht="15" customHeight="1" x14ac:dyDescent="0.35">
      <c r="A862" s="8"/>
    </row>
    <row r="863" spans="1:1" ht="15" customHeight="1" x14ac:dyDescent="0.35">
      <c r="A863" s="8"/>
    </row>
    <row r="864" spans="1:1" ht="15" customHeight="1" x14ac:dyDescent="0.35">
      <c r="A864" s="8"/>
    </row>
    <row r="865" spans="1:1" ht="15" customHeight="1" x14ac:dyDescent="0.35">
      <c r="A865" s="8"/>
    </row>
    <row r="866" spans="1:1" ht="15" customHeight="1" x14ac:dyDescent="0.35">
      <c r="A866" s="8"/>
    </row>
    <row r="867" spans="1:1" ht="15" customHeight="1" x14ac:dyDescent="0.35">
      <c r="A867" s="8"/>
    </row>
    <row r="868" spans="1:1" ht="15" customHeight="1" x14ac:dyDescent="0.35">
      <c r="A868" s="8"/>
    </row>
    <row r="869" spans="1:1" ht="15" customHeight="1" x14ac:dyDescent="0.35">
      <c r="A869" s="8"/>
    </row>
    <row r="870" spans="1:1" ht="15" customHeight="1" x14ac:dyDescent="0.35">
      <c r="A870" s="8"/>
    </row>
    <row r="871" spans="1:1" ht="15" customHeight="1" x14ac:dyDescent="0.35">
      <c r="A871" s="8"/>
    </row>
    <row r="872" spans="1:1" ht="15" customHeight="1" x14ac:dyDescent="0.35">
      <c r="A872" s="8"/>
    </row>
    <row r="873" spans="1:1" ht="15" customHeight="1" x14ac:dyDescent="0.35">
      <c r="A873" s="8"/>
    </row>
    <row r="874" spans="1:1" ht="15" customHeight="1" x14ac:dyDescent="0.35">
      <c r="A874" s="8"/>
    </row>
    <row r="875" spans="1:1" ht="15" customHeight="1" x14ac:dyDescent="0.35">
      <c r="A875" s="8"/>
    </row>
    <row r="876" spans="1:1" ht="15" customHeight="1" x14ac:dyDescent="0.35">
      <c r="A876" s="8"/>
    </row>
    <row r="877" spans="1:1" ht="15" customHeight="1" x14ac:dyDescent="0.35">
      <c r="A877" s="8"/>
    </row>
    <row r="878" spans="1:1" ht="15" customHeight="1" x14ac:dyDescent="0.35">
      <c r="A878" s="8"/>
    </row>
    <row r="879" spans="1:1" ht="15" customHeight="1" x14ac:dyDescent="0.35">
      <c r="A879" s="8"/>
    </row>
    <row r="880" spans="1:1" ht="15" customHeight="1" x14ac:dyDescent="0.35">
      <c r="A880" s="8"/>
    </row>
    <row r="881" spans="1:1" ht="15" customHeight="1" x14ac:dyDescent="0.35">
      <c r="A881" s="8"/>
    </row>
    <row r="882" spans="1:1" ht="15" customHeight="1" x14ac:dyDescent="0.35">
      <c r="A882" s="8"/>
    </row>
    <row r="883" spans="1:1" ht="15" customHeight="1" x14ac:dyDescent="0.35">
      <c r="A883" s="8"/>
    </row>
    <row r="884" spans="1:1" ht="15" customHeight="1" x14ac:dyDescent="0.35">
      <c r="A884" s="8"/>
    </row>
    <row r="885" spans="1:1" ht="15" customHeight="1" x14ac:dyDescent="0.35">
      <c r="A885" s="8"/>
    </row>
    <row r="886" spans="1:1" ht="15" customHeight="1" x14ac:dyDescent="0.35">
      <c r="A886" s="8"/>
    </row>
    <row r="887" spans="1:1" ht="15" customHeight="1" x14ac:dyDescent="0.35">
      <c r="A887" s="8"/>
    </row>
    <row r="888" spans="1:1" ht="15" customHeight="1" x14ac:dyDescent="0.35">
      <c r="A888" s="8"/>
    </row>
    <row r="889" spans="1:1" ht="15" customHeight="1" x14ac:dyDescent="0.35">
      <c r="A889" s="8"/>
    </row>
    <row r="890" spans="1:1" ht="15" customHeight="1" x14ac:dyDescent="0.35">
      <c r="A890" s="8"/>
    </row>
    <row r="891" spans="1:1" ht="15" customHeight="1" x14ac:dyDescent="0.35">
      <c r="A891" s="8"/>
    </row>
    <row r="892" spans="1:1" ht="15" customHeight="1" x14ac:dyDescent="0.35">
      <c r="A892" s="8"/>
    </row>
    <row r="893" spans="1:1" ht="15" customHeight="1" x14ac:dyDescent="0.35">
      <c r="A893" s="8"/>
    </row>
    <row r="894" spans="1:1" ht="15" customHeight="1" x14ac:dyDescent="0.35">
      <c r="A894" s="8"/>
    </row>
    <row r="895" spans="1:1" ht="15" customHeight="1" x14ac:dyDescent="0.35">
      <c r="A895" s="8"/>
    </row>
    <row r="896" spans="1:1" ht="15" customHeight="1" x14ac:dyDescent="0.35">
      <c r="A896" s="8"/>
    </row>
    <row r="897" spans="1:1" ht="15" customHeight="1" x14ac:dyDescent="0.35">
      <c r="A897" s="8"/>
    </row>
    <row r="898" spans="1:1" ht="15" customHeight="1" x14ac:dyDescent="0.35">
      <c r="A898" s="8"/>
    </row>
    <row r="899" spans="1:1" ht="15" customHeight="1" x14ac:dyDescent="0.35">
      <c r="A899" s="8"/>
    </row>
    <row r="900" spans="1:1" ht="15" customHeight="1" x14ac:dyDescent="0.35">
      <c r="A900" s="8"/>
    </row>
    <row r="901" spans="1:1" ht="15" customHeight="1" x14ac:dyDescent="0.35">
      <c r="A901" s="8"/>
    </row>
    <row r="902" spans="1:1" ht="15" customHeight="1" x14ac:dyDescent="0.35">
      <c r="A902" s="8"/>
    </row>
    <row r="903" spans="1:1" ht="15" customHeight="1" x14ac:dyDescent="0.35">
      <c r="A903" s="8"/>
    </row>
    <row r="904" spans="1:1" ht="15" customHeight="1" x14ac:dyDescent="0.35">
      <c r="A904" s="8"/>
    </row>
    <row r="905" spans="1:1" ht="15" customHeight="1" x14ac:dyDescent="0.35">
      <c r="A905" s="8"/>
    </row>
    <row r="906" spans="1:1" ht="15" customHeight="1" x14ac:dyDescent="0.35">
      <c r="A906" s="8"/>
    </row>
    <row r="907" spans="1:1" ht="15" customHeight="1" x14ac:dyDescent="0.35">
      <c r="A907" s="8"/>
    </row>
    <row r="908" spans="1:1" ht="15" customHeight="1" x14ac:dyDescent="0.35">
      <c r="A908" s="8"/>
    </row>
    <row r="909" spans="1:1" ht="15" customHeight="1" x14ac:dyDescent="0.35">
      <c r="A909" s="8"/>
    </row>
    <row r="910" spans="1:1" ht="15" customHeight="1" x14ac:dyDescent="0.35">
      <c r="A910" s="8"/>
    </row>
    <row r="911" spans="1:1" ht="15" customHeight="1" x14ac:dyDescent="0.35">
      <c r="A911" s="8"/>
    </row>
    <row r="912" spans="1:1" ht="15" customHeight="1" x14ac:dyDescent="0.35">
      <c r="A912" s="8"/>
    </row>
    <row r="913" spans="1:1" ht="15" customHeight="1" x14ac:dyDescent="0.35">
      <c r="A913" s="8"/>
    </row>
    <row r="914" spans="1:1" ht="15" customHeight="1" x14ac:dyDescent="0.35">
      <c r="A914" s="8"/>
    </row>
    <row r="915" spans="1:1" ht="15" customHeight="1" x14ac:dyDescent="0.35">
      <c r="A915" s="8"/>
    </row>
    <row r="916" spans="1:1" ht="15" customHeight="1" x14ac:dyDescent="0.35">
      <c r="A916" s="8"/>
    </row>
    <row r="917" spans="1:1" ht="15" customHeight="1" x14ac:dyDescent="0.35">
      <c r="A917" s="8"/>
    </row>
    <row r="918" spans="1:1" ht="15" customHeight="1" x14ac:dyDescent="0.35">
      <c r="A918" s="8"/>
    </row>
    <row r="919" spans="1:1" ht="15" customHeight="1" x14ac:dyDescent="0.35">
      <c r="A919" s="8"/>
    </row>
    <row r="920" spans="1:1" ht="15" customHeight="1" x14ac:dyDescent="0.35">
      <c r="A920" s="8"/>
    </row>
    <row r="921" spans="1:1" ht="15" customHeight="1" x14ac:dyDescent="0.35">
      <c r="A921" s="8"/>
    </row>
    <row r="922" spans="1:1" ht="15" customHeight="1" x14ac:dyDescent="0.35">
      <c r="A922" s="8"/>
    </row>
    <row r="923" spans="1:1" ht="15" customHeight="1" x14ac:dyDescent="0.35">
      <c r="A923" s="8"/>
    </row>
    <row r="924" spans="1:1" ht="15" customHeight="1" x14ac:dyDescent="0.35">
      <c r="A924" s="8"/>
    </row>
    <row r="925" spans="1:1" ht="15" customHeight="1" x14ac:dyDescent="0.35">
      <c r="A925" s="8"/>
    </row>
    <row r="926" spans="1:1" ht="15" customHeight="1" x14ac:dyDescent="0.35">
      <c r="A926" s="8"/>
    </row>
    <row r="927" spans="1:1" ht="15" customHeight="1" x14ac:dyDescent="0.35">
      <c r="A927" s="8"/>
    </row>
    <row r="928" spans="1:1" ht="15" customHeight="1" x14ac:dyDescent="0.35">
      <c r="A928" s="8"/>
    </row>
    <row r="929" spans="1:1" ht="15" customHeight="1" x14ac:dyDescent="0.35">
      <c r="A929" s="8"/>
    </row>
    <row r="930" spans="1:1" ht="15" customHeight="1" x14ac:dyDescent="0.35">
      <c r="A930" s="8"/>
    </row>
    <row r="931" spans="1:1" ht="15" customHeight="1" x14ac:dyDescent="0.35">
      <c r="A931" s="8"/>
    </row>
    <row r="932" spans="1:1" ht="15" customHeight="1" x14ac:dyDescent="0.35">
      <c r="A932" s="8"/>
    </row>
    <row r="933" spans="1:1" ht="15" customHeight="1" x14ac:dyDescent="0.35">
      <c r="A933" s="8"/>
    </row>
    <row r="934" spans="1:1" ht="15" customHeight="1" x14ac:dyDescent="0.35">
      <c r="A934" s="8"/>
    </row>
    <row r="935" spans="1:1" ht="15" customHeight="1" x14ac:dyDescent="0.35">
      <c r="A935" s="8"/>
    </row>
    <row r="936" spans="1:1" ht="15" customHeight="1" x14ac:dyDescent="0.35">
      <c r="A936" s="8"/>
    </row>
    <row r="937" spans="1:1" ht="15" customHeight="1" x14ac:dyDescent="0.35">
      <c r="A937" s="8"/>
    </row>
    <row r="938" spans="1:1" ht="15" customHeight="1" x14ac:dyDescent="0.35">
      <c r="A938" s="8"/>
    </row>
    <row r="939" spans="1:1" ht="15" customHeight="1" x14ac:dyDescent="0.35">
      <c r="A939" s="8"/>
    </row>
    <row r="940" spans="1:1" ht="15" customHeight="1" x14ac:dyDescent="0.35">
      <c r="A940" s="8"/>
    </row>
    <row r="941" spans="1:1" ht="15" customHeight="1" x14ac:dyDescent="0.35">
      <c r="A941" s="8"/>
    </row>
    <row r="942" spans="1:1" ht="15" customHeight="1" x14ac:dyDescent="0.35">
      <c r="A942" s="8"/>
    </row>
    <row r="943" spans="1:1" ht="15" customHeight="1" x14ac:dyDescent="0.35">
      <c r="A943" s="8"/>
    </row>
    <row r="944" spans="1:1" ht="15" customHeight="1" x14ac:dyDescent="0.35">
      <c r="A944" s="8"/>
    </row>
    <row r="945" spans="1:1" ht="15" customHeight="1" x14ac:dyDescent="0.35">
      <c r="A945" s="8"/>
    </row>
    <row r="946" spans="1:1" ht="15" customHeight="1" x14ac:dyDescent="0.35">
      <c r="A946" s="8"/>
    </row>
    <row r="947" spans="1:1" ht="15" customHeight="1" x14ac:dyDescent="0.35">
      <c r="A947" s="8"/>
    </row>
    <row r="948" spans="1:1" ht="15" customHeight="1" x14ac:dyDescent="0.35">
      <c r="A948" s="8"/>
    </row>
    <row r="949" spans="1:1" ht="15" customHeight="1" x14ac:dyDescent="0.35">
      <c r="A949" s="8"/>
    </row>
    <row r="950" spans="1:1" ht="15" customHeight="1" x14ac:dyDescent="0.35">
      <c r="A950" s="8"/>
    </row>
    <row r="951" spans="1:1" ht="15" customHeight="1" x14ac:dyDescent="0.35">
      <c r="A951" s="8"/>
    </row>
    <row r="952" spans="1:1" ht="15" customHeight="1" x14ac:dyDescent="0.35">
      <c r="A952" s="8"/>
    </row>
    <row r="953" spans="1:1" ht="15" customHeight="1" x14ac:dyDescent="0.35">
      <c r="A953" s="8"/>
    </row>
    <row r="954" spans="1:1" ht="15" customHeight="1" x14ac:dyDescent="0.35">
      <c r="A954" s="8"/>
    </row>
    <row r="955" spans="1:1" ht="15" customHeight="1" x14ac:dyDescent="0.35">
      <c r="A955" s="8"/>
    </row>
    <row r="956" spans="1:1" ht="15" customHeight="1" x14ac:dyDescent="0.35">
      <c r="A956" s="8"/>
    </row>
    <row r="957" spans="1:1" ht="15" customHeight="1" x14ac:dyDescent="0.35">
      <c r="A957" s="8"/>
    </row>
    <row r="958" spans="1:1" ht="15" customHeight="1" x14ac:dyDescent="0.35">
      <c r="A958" s="8"/>
    </row>
    <row r="959" spans="1:1" ht="15" customHeight="1" x14ac:dyDescent="0.35">
      <c r="A959" s="8"/>
    </row>
    <row r="960" spans="1:1" ht="15" customHeight="1" x14ac:dyDescent="0.35">
      <c r="A960" s="8"/>
    </row>
    <row r="961" spans="1:1" ht="15" customHeight="1" x14ac:dyDescent="0.35">
      <c r="A961" s="8"/>
    </row>
    <row r="962" spans="1:1" ht="15" customHeight="1" x14ac:dyDescent="0.35">
      <c r="A962" s="8"/>
    </row>
    <row r="963" spans="1:1" ht="15" customHeight="1" x14ac:dyDescent="0.35">
      <c r="A963" s="8"/>
    </row>
    <row r="964" spans="1:1" ht="15" customHeight="1" x14ac:dyDescent="0.35">
      <c r="A964" s="8"/>
    </row>
    <row r="965" spans="1:1" ht="15" customHeight="1" x14ac:dyDescent="0.35">
      <c r="A965" s="8"/>
    </row>
    <row r="966" spans="1:1" ht="15" customHeight="1" x14ac:dyDescent="0.35">
      <c r="A966" s="8"/>
    </row>
    <row r="967" spans="1:1" ht="15" customHeight="1" x14ac:dyDescent="0.35">
      <c r="A967" s="8"/>
    </row>
    <row r="968" spans="1:1" ht="15" customHeight="1" x14ac:dyDescent="0.35">
      <c r="A968" s="8"/>
    </row>
    <row r="969" spans="1:1" ht="15" customHeight="1" x14ac:dyDescent="0.35">
      <c r="A969" s="8"/>
    </row>
    <row r="970" spans="1:1" ht="15" customHeight="1" x14ac:dyDescent="0.35">
      <c r="A970" s="8"/>
    </row>
    <row r="971" spans="1:1" ht="15" customHeight="1" x14ac:dyDescent="0.35">
      <c r="A971" s="8"/>
    </row>
    <row r="972" spans="1:1" ht="15" customHeight="1" x14ac:dyDescent="0.35">
      <c r="A972" s="8"/>
    </row>
    <row r="973" spans="1:1" ht="15" customHeight="1" x14ac:dyDescent="0.35">
      <c r="A973" s="8"/>
    </row>
    <row r="974" spans="1:1" ht="15" customHeight="1" x14ac:dyDescent="0.35">
      <c r="A974" s="8"/>
    </row>
    <row r="975" spans="1:1" ht="15" customHeight="1" x14ac:dyDescent="0.35">
      <c r="A975" s="8"/>
    </row>
    <row r="976" spans="1:1" ht="15" customHeight="1" x14ac:dyDescent="0.35">
      <c r="A976" s="8"/>
    </row>
    <row r="977" spans="1:1" ht="15" customHeight="1" x14ac:dyDescent="0.35">
      <c r="A977" s="8"/>
    </row>
    <row r="978" spans="1:1" ht="15" customHeight="1" x14ac:dyDescent="0.35">
      <c r="A978" s="8"/>
    </row>
    <row r="979" spans="1:1" ht="15" customHeight="1" x14ac:dyDescent="0.35">
      <c r="A979" s="8"/>
    </row>
    <row r="980" spans="1:1" ht="15" customHeight="1" x14ac:dyDescent="0.35">
      <c r="A980" s="8"/>
    </row>
    <row r="981" spans="1:1" ht="15" customHeight="1" x14ac:dyDescent="0.35">
      <c r="A981" s="8"/>
    </row>
    <row r="982" spans="1:1" ht="15" customHeight="1" x14ac:dyDescent="0.35">
      <c r="A982" s="8"/>
    </row>
    <row r="983" spans="1:1" ht="15" customHeight="1" x14ac:dyDescent="0.35">
      <c r="A983" s="8"/>
    </row>
    <row r="984" spans="1:1" ht="15" customHeight="1" x14ac:dyDescent="0.35">
      <c r="A984" s="8"/>
    </row>
    <row r="985" spans="1:1" ht="15" customHeight="1" x14ac:dyDescent="0.35">
      <c r="A985" s="8"/>
    </row>
    <row r="986" spans="1:1" ht="15" customHeight="1" x14ac:dyDescent="0.35">
      <c r="A986" s="8"/>
    </row>
    <row r="987" spans="1:1" ht="15" customHeight="1" x14ac:dyDescent="0.35">
      <c r="A987" s="8"/>
    </row>
    <row r="988" spans="1:1" ht="15" customHeight="1" x14ac:dyDescent="0.35">
      <c r="A988" s="8"/>
    </row>
    <row r="989" spans="1:1" ht="15" customHeight="1" x14ac:dyDescent="0.35">
      <c r="A989" s="8"/>
    </row>
    <row r="990" spans="1:1" ht="15" customHeight="1" x14ac:dyDescent="0.35">
      <c r="A990" s="8"/>
    </row>
    <row r="991" spans="1:1" ht="15" customHeight="1" x14ac:dyDescent="0.35">
      <c r="A991" s="8"/>
    </row>
    <row r="992" spans="1:1" ht="15" customHeight="1" x14ac:dyDescent="0.35">
      <c r="A992" s="8"/>
    </row>
    <row r="993" spans="1:1" ht="15" customHeight="1" x14ac:dyDescent="0.35">
      <c r="A993" s="8"/>
    </row>
    <row r="994" spans="1:1" ht="15" customHeight="1" x14ac:dyDescent="0.35">
      <c r="A994" s="8"/>
    </row>
    <row r="995" spans="1:1" ht="15" customHeight="1" x14ac:dyDescent="0.35">
      <c r="A995" s="8"/>
    </row>
    <row r="996" spans="1:1" ht="15" customHeight="1" x14ac:dyDescent="0.35">
      <c r="A996" s="8"/>
    </row>
    <row r="997" spans="1:1" ht="15" customHeight="1" x14ac:dyDescent="0.35">
      <c r="A997" s="8"/>
    </row>
    <row r="998" spans="1:1" ht="15" customHeight="1" x14ac:dyDescent="0.35">
      <c r="A99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Jaguar Capital 4</dc:creator>
  <cp:lastModifiedBy>Jaguar Capital 4</cp:lastModifiedBy>
  <dcterms:created xsi:type="dcterms:W3CDTF">2026-06-01T16:52:40Z</dcterms:created>
  <dcterms:modified xsi:type="dcterms:W3CDTF">2026-06-01T16:53:13Z</dcterms:modified>
</cp:coreProperties>
</file>